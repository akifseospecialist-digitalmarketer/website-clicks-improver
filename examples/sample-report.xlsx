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Low CTR Pages" sheetId="2" state="visible" r:id="rId2"/>
    <sheet xmlns:r="http://schemas.openxmlformats.org/officeDocument/2006/relationships" name="Page 2-3 Pages" sheetId="3" state="visible" r:id="rId3"/>
    <sheet xmlns:r="http://schemas.openxmlformats.org/officeDocument/2006/relationships" name="Keyword Gaps" sheetId="4" state="visible" r:id="rId4"/>
    <sheet xmlns:r="http://schemas.openxmlformats.org/officeDocument/2006/relationships" name="Content Chunks" sheetId="5" state="visible" r:id="rId5"/>
    <sheet xmlns:r="http://schemas.openxmlformats.org/officeDocument/2006/relationships" name="Internal Links" sheetId="6" state="visible" r:id="rId6"/>
    <sheet xmlns:r="http://schemas.openxmlformats.org/officeDocument/2006/relationships" name="Cannibalisation" sheetId="7" state="visible" r:id="rId7"/>
    <sheet xmlns:r="http://schemas.openxmlformats.org/officeDocument/2006/relationships" name="Action Plan" sheetId="8" state="visible" r:id="rId8"/>
    <sheet xmlns:r="http://schemas.openxmlformats.org/officeDocument/2006/relationships" name="Method &amp; Notes" sheetId="9" state="visible" r:id="rId9"/>
  </sheets>
  <definedNames>
    <definedName name="_xlnm._FilterDatabase" localSheetId="1" hidden="1">'Low CTR Pages'!$A$1:$Z$5</definedName>
    <definedName name="_xlnm._FilterDatabase" localSheetId="2" hidden="1">'Page 2-3 Pages'!$A$1:$Q$6</definedName>
    <definedName name="_xlnm._FilterDatabase" localSheetId="3" hidden="1">'Keyword Gaps'!$A$1:$O$43</definedName>
    <definedName name="_xlnm._FilterDatabase" localSheetId="4" hidden="1">'Content Chunks'!$A$1:$L$34</definedName>
    <definedName name="_xlnm._FilterDatabase" localSheetId="5" hidden="1">'Internal Links'!$A$1:$F$8</definedName>
    <definedName name="_xlnm._FilterDatabase" localSheetId="6" hidden="1">'Cannibalisation'!$A$1:$G$3</definedName>
    <definedName name="_xlnm._FilterDatabase" localSheetId="7" hidden="1">'Action Plan'!$A$1:$J$15</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16">
    <font>
      <name val="Calibri"/>
      <family val="2"/>
      <color theme="1"/>
      <sz val="11"/>
      <scheme val="minor"/>
    </font>
    <font>
      <b val="1"/>
      <color rgb="000D1730"/>
      <sz val="16"/>
    </font>
    <font>
      <b val="1"/>
      <sz val="10"/>
    </font>
    <font>
      <b val="1"/>
      <color rgb="000D1730"/>
    </font>
    <font>
      <i val="1"/>
      <color rgb="006B7280"/>
      <sz val="9"/>
    </font>
    <font>
      <b val="1"/>
      <color rgb="00FFFFFF"/>
      <sz val="10"/>
    </font>
    <font>
      <color rgb="001F2937"/>
      <sz val="10"/>
    </font>
    <font>
      <b val="1"/>
      <color rgb="001F2937"/>
      <sz val="10"/>
    </font>
    <font>
      <color rgb="00B91C1C"/>
      <sz val="10"/>
    </font>
    <font>
      <b val="1"/>
      <color rgb="000D1730"/>
      <sz val="18"/>
    </font>
    <font>
      <color rgb="006B7280"/>
      <sz val="10"/>
    </font>
    <font>
      <color rgb="001F2937"/>
      <sz val="11"/>
    </font>
    <font>
      <b val="1"/>
      <color rgb="000D1730"/>
      <sz val="12"/>
    </font>
    <font>
      <b val="1"/>
      <color rgb="00047857"/>
      <sz val="12"/>
    </font>
    <font>
      <b val="1"/>
      <color rgb="000D1730"/>
      <sz val="13"/>
    </font>
    <font>
      <sz val="10"/>
    </font>
  </fonts>
  <fills count="11">
    <fill>
      <patternFill/>
    </fill>
    <fill>
      <patternFill patternType="gray125"/>
    </fill>
    <fill>
      <patternFill patternType="solid">
        <fgColor rgb="000D1730"/>
      </patternFill>
    </fill>
    <fill>
      <patternFill patternType="solid">
        <fgColor rgb="00ECFDF5"/>
      </patternFill>
    </fill>
    <fill>
      <patternFill patternType="solid">
        <fgColor rgb="00FEE2E2"/>
      </patternFill>
    </fill>
    <fill>
      <patternFill patternType="solid">
        <fgColor rgb="00FEF3C7"/>
      </patternFill>
    </fill>
    <fill>
      <patternFill patternType="solid">
        <fgColor rgb="00E0F2FE"/>
      </patternFill>
    </fill>
    <fill>
      <patternFill patternType="solid">
        <fgColor rgb="00FED7AA"/>
      </patternFill>
    </fill>
    <fill>
      <patternFill patternType="solid">
        <fgColor rgb="00FECACA"/>
      </patternFill>
    </fill>
    <fill>
      <patternFill patternType="solid">
        <fgColor rgb="00FFF7E6"/>
      </patternFill>
    </fill>
    <fill>
      <patternFill patternType="solid">
        <fgColor rgb="00F1F5F9"/>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40">
    <xf numFmtId="0" fontId="0" fillId="0" borderId="0" pivotButton="0" quotePrefix="0" xfId="0"/>
    <xf numFmtId="0" fontId="9" fillId="0" borderId="0" pivotButton="0" quotePrefix="0" xfId="0"/>
    <xf numFmtId="0" fontId="10" fillId="0" borderId="0" pivotButton="0" quotePrefix="0" xfId="0"/>
    <xf numFmtId="0" fontId="11" fillId="10" borderId="1" pivotButton="0" quotePrefix="0" xfId="0"/>
    <xf numFmtId="3" fontId="12" fillId="10" borderId="1" applyAlignment="1" pivotButton="0" quotePrefix="0" xfId="0">
      <alignment horizontal="right"/>
    </xf>
    <xf numFmtId="10" fontId="12" fillId="10" borderId="1" applyAlignment="1" pivotButton="0" quotePrefix="0" xfId="0">
      <alignment horizontal="right"/>
    </xf>
    <xf numFmtId="1" fontId="12" fillId="10" borderId="1" applyAlignment="1" pivotButton="0" quotePrefix="0" xfId="0">
      <alignment horizontal="right"/>
    </xf>
    <xf numFmtId="0" fontId="13" fillId="10" borderId="1" pivotButton="0" quotePrefix="0" xfId="0"/>
    <xf numFmtId="3" fontId="13" fillId="10" borderId="1" applyAlignment="1" pivotButton="0" quotePrefix="0" xfId="0">
      <alignment horizontal="right"/>
    </xf>
    <xf numFmtId="49" fontId="12" fillId="10" borderId="1" applyAlignment="1" pivotButton="0" quotePrefix="0" xfId="0">
      <alignment horizontal="right"/>
    </xf>
    <xf numFmtId="0" fontId="14" fillId="0" borderId="0" pivotButton="0" quotePrefix="0" xfId="0"/>
    <xf numFmtId="0" fontId="5" fillId="2" borderId="1" pivotButton="0" quotePrefix="0" xfId="0"/>
    <xf numFmtId="0" fontId="15" fillId="0" borderId="1" applyAlignment="1" pivotButton="0" quotePrefix="0" xfId="0">
      <alignment vertical="top" wrapText="1"/>
    </xf>
    <xf numFmtId="0" fontId="15" fillId="4" borderId="1" applyAlignment="1" pivotButton="0" quotePrefix="0" xfId="0">
      <alignment vertical="top" wrapText="1"/>
    </xf>
    <xf numFmtId="3" fontId="15" fillId="0" borderId="1" applyAlignment="1" pivotButton="0" quotePrefix="0" xfId="0">
      <alignment vertical="top" wrapText="1"/>
    </xf>
    <xf numFmtId="0" fontId="15" fillId="5" borderId="1" applyAlignment="1" pivotButton="0" quotePrefix="0" xfId="0">
      <alignment vertical="top" wrapText="1"/>
    </xf>
    <xf numFmtId="0" fontId="0" fillId="0" borderId="0" applyAlignment="1" pivotButton="0" quotePrefix="0" xfId="0">
      <alignment/>
    </xf>
    <xf numFmtId="0" fontId="4" fillId="0" borderId="0" pivotButton="0" quotePrefix="0" xfId="0"/>
    <xf numFmtId="0" fontId="5" fillId="2" borderId="1" applyAlignment="1" pivotButton="0" quotePrefix="0" xfId="0">
      <alignment vertical="center" wrapText="1"/>
    </xf>
    <xf numFmtId="0" fontId="6" fillId="0" borderId="1" applyAlignment="1" pivotButton="0" quotePrefix="0" xfId="0">
      <alignment vertical="top" wrapText="1"/>
    </xf>
    <xf numFmtId="3" fontId="6" fillId="0" borderId="1" applyAlignment="1" pivotButton="0" quotePrefix="0" xfId="0">
      <alignment vertical="top" wrapText="1"/>
    </xf>
    <xf numFmtId="10" fontId="6" fillId="0" borderId="1" applyAlignment="1" pivotButton="0" quotePrefix="0" xfId="0">
      <alignment vertical="top" wrapText="1"/>
    </xf>
    <xf numFmtId="165" fontId="6" fillId="0" borderId="1" applyAlignment="1" pivotButton="0" quotePrefix="0" xfId="0">
      <alignment vertical="top" wrapText="1"/>
    </xf>
    <xf numFmtId="9" fontId="6" fillId="0" borderId="1" applyAlignment="1" pivotButton="0" quotePrefix="0" xfId="0">
      <alignment vertical="top" wrapText="1"/>
    </xf>
    <xf numFmtId="0" fontId="7" fillId="4" borderId="1" applyAlignment="1" pivotButton="0" quotePrefix="0" xfId="0">
      <alignment vertical="top" wrapText="1"/>
    </xf>
    <xf numFmtId="0" fontId="6" fillId="3" borderId="1" applyAlignment="1" pivotButton="0" quotePrefix="0" xfId="0">
      <alignment vertical="top" wrapText="1"/>
    </xf>
    <xf numFmtId="0" fontId="7" fillId="5" borderId="1" applyAlignment="1" pivotButton="0" quotePrefix="0" xfId="0">
      <alignment vertical="top" wrapText="1"/>
    </xf>
    <xf numFmtId="0" fontId="7" fillId="6" borderId="1" applyAlignment="1" pivotButton="0" quotePrefix="0" xfId="0">
      <alignment vertical="top" wrapText="1"/>
    </xf>
    <xf numFmtId="0" fontId="6" fillId="5" borderId="1" applyAlignment="1" pivotButton="0" quotePrefix="0" xfId="0">
      <alignment vertical="top" wrapText="1"/>
    </xf>
    <xf numFmtId="0" fontId="8" fillId="0" borderId="1" applyAlignment="1" pivotButton="0" quotePrefix="0" xfId="0">
      <alignment vertical="top" wrapText="1"/>
    </xf>
    <xf numFmtId="0" fontId="6" fillId="7" borderId="1" applyAlignment="1" pivotButton="0" quotePrefix="0" xfId="0">
      <alignment vertical="top" wrapText="1"/>
    </xf>
    <xf numFmtId="0" fontId="6" fillId="6" borderId="1" applyAlignment="1" pivotButton="0" quotePrefix="0" xfId="0">
      <alignment vertical="top" wrapText="1"/>
    </xf>
    <xf numFmtId="0" fontId="6" fillId="8" borderId="1" applyAlignment="1" pivotButton="0" quotePrefix="0" xfId="0">
      <alignment vertical="top" wrapText="1"/>
    </xf>
    <xf numFmtId="0" fontId="6" fillId="9" borderId="1" applyAlignment="1" pivotButton="0" quotePrefix="0" xfId="0">
      <alignment vertical="top" wrapText="1"/>
    </xf>
    <xf numFmtId="0" fontId="1" fillId="0" borderId="0" pivotButton="0" quotePrefix="0" xfId="0"/>
    <xf numFmtId="0" fontId="2" fillId="0" borderId="0" pivotButton="0" quotePrefix="0" xfId="0"/>
    <xf numFmtId="0" fontId="0" fillId="0" borderId="0" applyAlignment="1" pivotButton="0" quotePrefix="0" xfId="0">
      <alignment vertical="top" wrapText="1"/>
    </xf>
    <xf numFmtId="10" fontId="0" fillId="0" borderId="0" applyAlignment="1" pivotButton="0" quotePrefix="0" xfId="0">
      <alignment vertical="top" wrapText="1"/>
    </xf>
    <xf numFmtId="0" fontId="3" fillId="0" borderId="0" pivotButton="0" quotePrefix="0" xfId="0"/>
    <xf numFmtId="164" fontId="0" fillId="0" borderId="0" applyAlignment="1" pivotButton="0" quotePrefix="0" xfId="0">
      <alignment horizontal="left"/>
    </xf>
  </cellXfs>
  <cellStyles count="1">
    <cellStyle name="Normal" xfId="0" builtinId="0" hidden="0"/>
  </cellStyles>
  <dxfs count="2">
    <dxf>
      <fill>
        <patternFill patternType="solid">
          <fgColor rgb="00D1FAE5"/>
        </patternFill>
      </fill>
    </dxf>
    <dxf>
      <fill>
        <patternFill patternType="solid">
          <fgColor rgb="00FECAC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D1730"/>
    <outlinePr summaryBelow="1" summaryRight="1"/>
    <pageSetUpPr/>
  </sheetPr>
  <dimension ref="A1:E37"/>
  <sheetViews>
    <sheetView showGridLines="0" workbookViewId="0">
      <selection activeCell="A1" sqref="A1"/>
    </sheetView>
  </sheetViews>
  <sheetFormatPr baseColWidth="8" defaultRowHeight="15"/>
  <cols>
    <col width="46" customWidth="1" min="1" max="1"/>
    <col width="18" customWidth="1" min="2" max="2"/>
    <col width="26" customWidth="1" min="3" max="3"/>
    <col width="26" customWidth="1" min="4" max="4"/>
    <col width="26" customWidth="1" min="5" max="5"/>
    <col width="26" customWidth="1" min="6" max="6"/>
  </cols>
  <sheetData>
    <row r="1">
      <c r="A1" s="1" t="inlineStr">
        <is>
          <t>Website Clicks Improver - Harbour Dental (fictional example)</t>
        </is>
      </c>
    </row>
    <row r="2">
      <c r="A2" s="2" t="inlineStr">
        <is>
          <t>GSC data: Last 3 months (sample data)  |  Mode: page+query  |  Generated 2026-10-21</t>
        </is>
      </c>
    </row>
    <row r="4">
      <c r="A4" s="3" t="inlineStr">
        <is>
          <t>Clicks in the data</t>
        </is>
      </c>
      <c r="B4" s="4" t="n">
        <v>4613</v>
      </c>
    </row>
    <row r="5">
      <c r="A5" s="3" t="inlineStr">
        <is>
          <t>Impressions in the data</t>
        </is>
      </c>
      <c r="B5" s="4" t="n">
        <v>123661</v>
      </c>
    </row>
    <row r="6">
      <c r="A6" s="3" t="inlineStr">
        <is>
          <t>Site CTR</t>
        </is>
      </c>
      <c r="B6" s="5">
        <f>IFERROR(B4/B5,0)</f>
        <v/>
      </c>
    </row>
    <row r="7">
      <c r="A7" s="3" t="inlineStr">
        <is>
          <t>Low-CTR pages on page 1</t>
        </is>
      </c>
      <c r="B7" s="6">
        <f>COUNTA('Low CTR Pages'!A:A)-1</f>
        <v/>
      </c>
    </row>
    <row r="8">
      <c r="A8" s="3" t="inlineStr">
        <is>
          <t>Extra clicks if they hit expected CTR</t>
        </is>
      </c>
      <c r="B8" s="4">
        <f>SUM('Low CTR Pages'!H:H)</f>
        <v/>
      </c>
    </row>
    <row r="9">
      <c r="A9" s="3" t="inlineStr">
        <is>
          <t>Pages stuck on Google page 2-3</t>
        </is>
      </c>
      <c r="B9" s="6">
        <f>COUNTA('Page 2-3 Pages'!A:A)-1</f>
        <v/>
      </c>
    </row>
    <row r="10">
      <c r="A10" s="3" t="inlineStr">
        <is>
          <t>Clicks if those pages reach position 5</t>
        </is>
      </c>
      <c r="B10" s="4">
        <f>SUM('Page 2-3 Pages'!G:G)</f>
        <v/>
      </c>
    </row>
    <row r="11">
      <c r="A11" s="7" t="inlineStr">
        <is>
          <t>Total click opportunity (per period)</t>
        </is>
      </c>
      <c r="B11" s="8">
        <f>B8+B10</f>
        <v/>
      </c>
    </row>
    <row r="12">
      <c r="A12" s="3" t="inlineStr">
        <is>
          <t>Keyword gaps (ranking but not used)</t>
        </is>
      </c>
      <c r="B12" s="6">
        <f>COUNTA('Keyword Gaps'!B:B)-1</f>
        <v/>
      </c>
    </row>
    <row r="13">
      <c r="A13" s="3" t="inlineStr">
        <is>
          <t>Content chunks written</t>
        </is>
      </c>
      <c r="B13" s="6">
        <f>COUNTIF('Content Chunks'!J:J,"&gt;0")</f>
        <v/>
      </c>
    </row>
    <row r="14">
      <c r="A14" s="3" t="inlineStr">
        <is>
          <t>Actions done</t>
        </is>
      </c>
      <c r="B14" s="9">
        <f>COUNTIF('Action Plan'!H:H,"Done")&amp;" of "&amp;(COUNTA('Action Plan'!A:A)-1)</f>
        <v/>
      </c>
    </row>
    <row r="16">
      <c r="A16" s="10" t="inlineStr">
        <is>
          <t>Top 10 actions</t>
        </is>
      </c>
    </row>
    <row r="17">
      <c r="A17" s="11" t="inlineStr">
        <is>
          <t>Action</t>
        </is>
      </c>
      <c r="B17" s="11" t="inlineStr">
        <is>
          <t>Priority</t>
        </is>
      </c>
      <c r="C17" s="11" t="inlineStr">
        <is>
          <t>Page</t>
        </is>
      </c>
      <c r="D17" s="11" t="inlineStr">
        <is>
          <t>Type</t>
        </is>
      </c>
      <c r="E17" s="11" t="inlineStr">
        <is>
          <t>Est. extra clicks</t>
        </is>
      </c>
    </row>
    <row r="18">
      <c r="A18" s="12" t="inlineStr">
        <is>
          <t>Add 4 content chunks + 1 internal link; follow the push plan (see Page 2-3 Pages)</t>
        </is>
      </c>
      <c r="B18" s="13" t="inlineStr">
        <is>
          <t>High</t>
        </is>
      </c>
      <c r="C18" s="12" t="inlineStr">
        <is>
          <t>/services/dental-implants/</t>
        </is>
      </c>
      <c r="D18" s="12" t="inlineStr">
        <is>
          <t>Push to page 1</t>
        </is>
      </c>
      <c r="E18" s="14" t="n">
        <v>803</v>
      </c>
    </row>
    <row r="19">
      <c r="A19" s="12" t="inlineStr">
        <is>
          <t>Add 4 content chunks; follow the push plan (see Page 2-3 Pages)</t>
        </is>
      </c>
      <c r="B19" s="13" t="inlineStr">
        <is>
          <t>High</t>
        </is>
      </c>
      <c r="C19" s="12" t="inlineStr">
        <is>
          <t>/services/root-canal/</t>
        </is>
      </c>
      <c r="D19" s="12" t="inlineStr">
        <is>
          <t>Push to page 1</t>
        </is>
      </c>
      <c r="E19" s="14" t="n">
        <v>546</v>
      </c>
    </row>
    <row r="20">
      <c r="A20" s="12" t="inlineStr">
        <is>
          <t>Rewrite title + meta description (see Low CTR Pages)</t>
        </is>
      </c>
      <c r="B20" s="13" t="inlineStr">
        <is>
          <t>High</t>
        </is>
      </c>
      <c r="C20" s="12" t="inlineStr">
        <is>
          <t>/services/teeth-whitening/</t>
        </is>
      </c>
      <c r="D20" s="12" t="inlineStr">
        <is>
          <t>CTR rewrite</t>
        </is>
      </c>
      <c r="E20" s="14" t="n">
        <v>498</v>
      </c>
    </row>
    <row r="21">
      <c r="A21" s="12" t="inlineStr">
        <is>
          <t>Add 1 content chunk + 1 internal link; follow the push plan (see Page 2-3 Pages)</t>
        </is>
      </c>
      <c r="B21" s="15" t="inlineStr">
        <is>
          <t>Medium</t>
        </is>
      </c>
      <c r="C21" s="12" t="inlineStr">
        <is>
          <t>/blog/teeth-whitening-cost/</t>
        </is>
      </c>
      <c r="D21" s="12" t="inlineStr">
        <is>
          <t>Push to page 1</t>
        </is>
      </c>
      <c r="E21" s="14" t="n">
        <v>397</v>
      </c>
    </row>
    <row r="22">
      <c r="A22" s="12" t="inlineStr">
        <is>
          <t>Rewrite title + meta description (see Low CTR Pages)</t>
        </is>
      </c>
      <c r="B22" s="15" t="inlineStr">
        <is>
          <t>Medium</t>
        </is>
      </c>
      <c r="C22" s="12" t="inlineStr">
        <is>
          <t>/services/invisalign/</t>
        </is>
      </c>
      <c r="D22" s="12" t="inlineStr">
        <is>
          <t>CTR rewrite</t>
        </is>
      </c>
      <c r="E22" s="14" t="n">
        <v>124</v>
      </c>
    </row>
    <row r="23">
      <c r="A23" s="12" t="inlineStr">
        <is>
          <t>Rewrite title + meta description (see Low CTR Pages)</t>
        </is>
      </c>
      <c r="B23" s="15" t="inlineStr">
        <is>
          <t>Medium</t>
        </is>
      </c>
      <c r="C23" s="12" t="inlineStr">
        <is>
          <t>/blog/invisalign-vs-braces/</t>
        </is>
      </c>
      <c r="D23" s="12" t="inlineStr">
        <is>
          <t>CTR rewrite</t>
        </is>
      </c>
      <c r="E23" s="14" t="n">
        <v>98</v>
      </c>
    </row>
    <row r="24">
      <c r="A24" s="12" t="inlineStr">
        <is>
          <t>Add 6 content chunks for keywords the page ranks for but doesn't use</t>
        </is>
      </c>
      <c r="B24" s="15" t="inlineStr">
        <is>
          <t>Medium</t>
        </is>
      </c>
      <c r="C24" s="12" t="inlineStr">
        <is>
          <t>/services/teeth-whitening/</t>
        </is>
      </c>
      <c r="D24" s="12" t="inlineStr">
        <is>
          <t>Content chunks</t>
        </is>
      </c>
      <c r="E24" s="14" t="n"/>
    </row>
    <row r="25">
      <c r="A25" s="12" t="inlineStr">
        <is>
          <t>Add 4 content chunks for keywords the page ranks for but doesn't use</t>
        </is>
      </c>
      <c r="B25" s="15" t="inlineStr">
        <is>
          <t>Medium</t>
        </is>
      </c>
      <c r="C25" s="12" t="inlineStr">
        <is>
          <t>/services/invisalign/</t>
        </is>
      </c>
      <c r="D25" s="12" t="inlineStr">
        <is>
          <t>Content chunks</t>
        </is>
      </c>
      <c r="E25" s="14" t="n"/>
    </row>
    <row r="26">
      <c r="A26" s="12" t="inlineStr">
        <is>
          <t>Add 1 content chunk for keywords the page ranks for but doesn't use</t>
        </is>
      </c>
      <c r="B26" s="15" t="inlineStr">
        <is>
          <t>Medium</t>
        </is>
      </c>
      <c r="C26" s="12" t="inlineStr">
        <is>
          <t>/blog/invisalign-vs-braces/</t>
        </is>
      </c>
      <c r="D26" s="12" t="inlineStr">
        <is>
          <t>Content chunks</t>
        </is>
      </c>
      <c r="E26" s="14" t="n"/>
    </row>
    <row r="27">
      <c r="A27" s="12" t="inlineStr">
        <is>
          <t>Add 4 content chunks for keywords the page ranks for but doesn't use</t>
        </is>
      </c>
      <c r="B27" s="15" t="inlineStr">
        <is>
          <t>Medium</t>
        </is>
      </c>
      <c r="C27" s="12" t="inlineStr">
        <is>
          <t>/blog/how-long-do-dental-implants-last/</t>
        </is>
      </c>
      <c r="D27" s="12" t="inlineStr">
        <is>
          <t>Content chunks</t>
        </is>
      </c>
      <c r="E27" s="14" t="n"/>
    </row>
    <row r="29">
      <c r="A29" s="10" t="inlineStr">
        <is>
          <t>How to use this workbook</t>
        </is>
      </c>
    </row>
    <row r="30">
      <c r="A30" s="16" t="inlineStr">
        <is>
          <t>1. Low CTR Pages: paste the suggested title + meta into your CMS (check the char counts stay green).</t>
        </is>
      </c>
    </row>
    <row r="31">
      <c r="A31" s="16" t="inlineStr">
        <is>
          <t>2. Page 2-3 Pages: work through the push plan, starting with High priority rows.</t>
        </is>
      </c>
    </row>
    <row r="32">
      <c r="A32" s="16" t="inlineStr">
        <is>
          <t>3. Content Chunks: add each chunk where it says, in your own voice. Check every fact flagged in 'Check before publishing'.</t>
        </is>
      </c>
    </row>
    <row r="33">
      <c r="A33" s="16" t="inlineStr">
        <is>
          <t>4. Internal Links: add a contextual link from each source page using the suggested anchor.</t>
        </is>
      </c>
    </row>
    <row r="34">
      <c r="A34" s="16" t="inlineStr">
        <is>
          <t>5. Action Plan: set an owner and mark Status as you go. Re-check GSC 4-6 weeks after each change.</t>
        </is>
      </c>
    </row>
    <row r="37">
      <c r="A37" s="17" t="inlineStr">
        <is>
          <t>Built with website-clicks-improver by Akif Qureshi | SEO Specialist - algoblueprints.com</t>
        </is>
      </c>
    </row>
  </sheetData>
  <pageMargins left="0.75" right="0.75" top="1" bottom="1" header="0.5" footer="0.5"/>
</worksheet>
</file>

<file path=xl/worksheets/sheet2.xml><?xml version="1.0" encoding="utf-8"?>
<worksheet xmlns="http://schemas.openxmlformats.org/spreadsheetml/2006/main">
  <sheetPr>
    <tabColor rgb="00F87171"/>
    <outlinePr summaryBelow="1" summaryRight="1"/>
    <pageSetUpPr/>
  </sheetPr>
  <dimension ref="A1:Z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2" customWidth="1" min="1" max="1"/>
    <col width="9" customWidth="1" min="2" max="2"/>
    <col width="12" customWidth="1" min="3" max="3"/>
    <col width="8" customWidth="1" min="4" max="4"/>
    <col width="9" customWidth="1" min="5" max="5"/>
    <col width="10" customWidth="1" min="6" max="6"/>
    <col width="10" customWidth="1" min="7" max="7"/>
    <col width="12" customWidth="1" min="8" max="8"/>
    <col width="9" customWidth="1" min="9" max="9"/>
    <col width="40" customWidth="1" min="10" max="10"/>
    <col width="38" customWidth="1" min="11" max="11"/>
    <col width="7" customWidth="1" min="12" max="12"/>
    <col width="42" customWidth="1" min="13" max="13"/>
    <col width="7" customWidth="1" min="14" max="14"/>
    <col width="44" customWidth="1" min="15" max="15"/>
    <col width="44" customWidth="1" min="16" max="16"/>
    <col width="40" customWidth="1" min="17" max="17"/>
    <col width="8" customWidth="1" min="18" max="18"/>
    <col width="36" customWidth="1" min="19" max="19"/>
    <col width="8" customWidth="1" min="20" max="20"/>
    <col width="46" customWidth="1" min="21" max="21"/>
    <col width="8" customWidth="1" min="22" max="22"/>
    <col width="46" customWidth="1" min="23" max="23"/>
    <col width="8" customWidth="1" min="24" max="24"/>
    <col width="40" customWidth="1" min="25" max="25"/>
    <col width="11" customWidth="1" min="26" max="26"/>
  </cols>
  <sheetData>
    <row r="1" ht="32" customHeight="1">
      <c r="A1" s="18" t="inlineStr">
        <is>
          <t>Page URL</t>
        </is>
      </c>
      <c r="B1" s="18" t="inlineStr">
        <is>
          <t>Clicks</t>
        </is>
      </c>
      <c r="C1" s="18" t="inlineStr">
        <is>
          <t>Impressions</t>
        </is>
      </c>
      <c r="D1" s="18" t="inlineStr">
        <is>
          <t>CTR</t>
        </is>
      </c>
      <c r="E1" s="18" t="inlineStr">
        <is>
          <t>Avg position</t>
        </is>
      </c>
      <c r="F1" s="18" t="inlineStr">
        <is>
          <t>Expected CTR</t>
        </is>
      </c>
      <c r="G1" s="18" t="inlineStr">
        <is>
          <t>CTR vs expected</t>
        </is>
      </c>
      <c r="H1" s="18" t="inlineStr">
        <is>
          <t>Extra clicks at expected CTR</t>
        </is>
      </c>
      <c r="I1" s="18" t="inlineStr">
        <is>
          <t>Priority</t>
        </is>
      </c>
      <c r="J1" s="18" t="inlineStr">
        <is>
          <t>Top queries</t>
        </is>
      </c>
      <c r="K1" s="18" t="inlineStr">
        <is>
          <t>Current title</t>
        </is>
      </c>
      <c r="L1" s="18" t="inlineStr">
        <is>
          <t>Title chars</t>
        </is>
      </c>
      <c r="M1" s="18" t="inlineStr">
        <is>
          <t>Current meta description</t>
        </is>
      </c>
      <c r="N1" s="18" t="inlineStr">
        <is>
          <t>Meta chars</t>
        </is>
      </c>
      <c r="O1" s="18" t="inlineStr">
        <is>
          <t>Snippet issues found</t>
        </is>
      </c>
      <c r="P1" s="18" t="inlineStr">
        <is>
          <t>Diagnosis</t>
        </is>
      </c>
      <c r="Q1" s="18" t="inlineStr">
        <is>
          <t>Suggested title (recommended)</t>
        </is>
      </c>
      <c r="R1" s="18" t="inlineStr">
        <is>
          <t>New title chars</t>
        </is>
      </c>
      <c r="S1" s="18" t="inlineStr">
        <is>
          <t>Alternative title</t>
        </is>
      </c>
      <c r="T1" s="18" t="inlineStr">
        <is>
          <t>Alt title chars</t>
        </is>
      </c>
      <c r="U1" s="18" t="inlineStr">
        <is>
          <t>Suggested meta description</t>
        </is>
      </c>
      <c r="V1" s="18" t="inlineStr">
        <is>
          <t>New meta chars</t>
        </is>
      </c>
      <c r="W1" s="18" t="inlineStr">
        <is>
          <t>Alternative meta description</t>
        </is>
      </c>
      <c r="X1" s="18" t="inlineStr">
        <is>
          <t>Alt meta chars</t>
        </is>
      </c>
      <c r="Y1" s="18" t="inlineStr">
        <is>
          <t>Other fixes</t>
        </is>
      </c>
      <c r="Z1" s="18" t="inlineStr">
        <is>
          <t>Status</t>
        </is>
      </c>
    </row>
    <row r="2">
      <c r="A2" s="19" t="inlineStr">
        <is>
          <t>https://www.harbourdental.example/services/teeth-whitening/</t>
        </is>
      </c>
      <c r="B2" s="20" t="n">
        <v>512</v>
      </c>
      <c r="C2" s="20" t="n">
        <v>24329</v>
      </c>
      <c r="D2" s="21">
        <f>IFERROR(B2/C2,0)</f>
        <v/>
      </c>
      <c r="E2" s="22" t="n">
        <v>5.9</v>
      </c>
      <c r="F2" s="21" t="n">
        <v>0.0415</v>
      </c>
      <c r="G2" s="23">
        <f>IFERROR(D2/F2,0)</f>
        <v/>
      </c>
      <c r="H2" s="20">
        <f>MAX(0,ROUND(C2*F2-B2,0))</f>
        <v/>
      </c>
      <c r="I2" s="24" t="inlineStr">
        <is>
          <t>High</t>
        </is>
      </c>
      <c r="J2" s="19" t="inlineStr">
        <is>
          <t>teeth whitening (6,589 impr, pos 6.8)
teeth whitening parramatta (4,360 impr, pos 3.3)
teeth whitening near me (2,256 impr, pos 3.2)
teeth whitening cost (2,070 impr, pos 12.7)
professional teeth whitening (1,439 impr, pos 3.5)
how long does teeth whitening last (994 impr, pos 7.0)</t>
        </is>
      </c>
      <c r="K2" s="19" t="inlineStr">
        <is>
          <t>Teeth Whitening Services | Harbour Dental Clinic Parramatta NSW Australia</t>
        </is>
      </c>
      <c r="L2" s="19">
        <f>LEN(K2)</f>
        <v/>
      </c>
      <c r="M2" s="19" t="inlineStr">
        <is>
          <t>Harbour Dental offers teeth whitening.</t>
        </is>
      </c>
      <c r="N2" s="19">
        <f>LEN(M2)</f>
        <v/>
      </c>
      <c r="O2" s="19" t="inlineStr">
        <is>
          <t>- Title is 73 chars - likely truncated in Google (aim for 50-60).
- Meta description is only 38 chars - too thin to sell the click.</t>
        </is>
      </c>
      <c r="P2" s="25" t="inlineStr">
        <is>
          <t>Ranks about #3 for 'teeth whitening parramatta' and 'teeth whitening near me' (6,600+ impressions) but earns less than half the CTR that position should get. The 73-char title is cut off before it says anything useful, and the 38-char meta gives searchers no reason to pick this result.</t>
        </is>
      </c>
      <c r="Q2" s="25" t="inlineStr">
        <is>
          <t>Teeth Whitening Parramatta | Brighter Smile in One Visit</t>
        </is>
      </c>
      <c r="R2" s="19">
        <f>LEN(Q2)</f>
        <v/>
      </c>
      <c r="S2" s="25" t="inlineStr">
        <is>
          <t>Professional Teeth Whitening in Parramatta | Harbour Dental</t>
        </is>
      </c>
      <c r="T2" s="19">
        <f>LEN(S2)</f>
        <v/>
      </c>
      <c r="U2" s="25" t="inlineStr">
        <is>
          <t>Professional teeth whitening in Parramatta: in-chair results in about an hour, plus custom take-home kits to keep your smile bright. Book online today.</t>
        </is>
      </c>
      <c r="V2" s="19">
        <f>LEN(U2)</f>
        <v/>
      </c>
      <c r="W2" s="25" t="inlineStr">
        <is>
          <t>Whiter teeth in one visit at Harbour Dental Parramatta. Dentist-checked in-chair whitening and custom take-home kits. Open six days. Book online now.</t>
        </is>
      </c>
      <c r="X2" s="19">
        <f>LEN(W2)</f>
        <v/>
      </c>
      <c r="Y2" s="25" t="inlineStr">
        <is>
          <t>- H1: Professional Teeth Whitening in Parramatta
- Add the FAQ block (chunk C4): question searches bring ~1,600 impressions a period
- Let /blog/teeth-whitening-cost/ own 'teeth whitening cost' (both pages compete for it). Add a short price teaser + link (chunk C2) instead of a full price section here</t>
        </is>
      </c>
      <c r="Z2" s="19" t="inlineStr">
        <is>
          <t>To do</t>
        </is>
      </c>
    </row>
    <row r="3">
      <c r="A3" s="19" t="inlineStr">
        <is>
          <t>https://www.harbourdental.example/services/invisalign/</t>
        </is>
      </c>
      <c r="B3" s="20" t="n">
        <v>128</v>
      </c>
      <c r="C3" s="20" t="n">
        <v>10872</v>
      </c>
      <c r="D3" s="21">
        <f>IFERROR(B3/C3,0)</f>
        <v/>
      </c>
      <c r="E3" s="22" t="n">
        <v>8.699999999999999</v>
      </c>
      <c r="F3" s="21" t="n">
        <v>0.0232</v>
      </c>
      <c r="G3" s="23">
        <f>IFERROR(D3/F3,0)</f>
        <v/>
      </c>
      <c r="H3" s="20">
        <f>MAX(0,ROUND(C3*F3-B3,0))</f>
        <v/>
      </c>
      <c r="I3" s="26" t="inlineStr">
        <is>
          <t>Medium</t>
        </is>
      </c>
      <c r="J3" s="19" t="inlineStr">
        <is>
          <t>invisalign cost (3,226 impr, pos 9.6)
invisalign parramatta (1,938 impr, pos 5.1)
clear aligners (1,378 impr, pos 11.6)
invisalign provider near me (915 impr, pos 6.5)
how long does invisalign take (715 impr, pos 10.6)
invisalign payment plans (560 impr, pos 10.2)</t>
        </is>
      </c>
      <c r="K3" s="19" t="inlineStr">
        <is>
          <t>Invisalign</t>
        </is>
      </c>
      <c r="L3" s="19">
        <f>LEN(K3)</f>
        <v/>
      </c>
      <c r="M3" s="19" t="inlineStr"/>
      <c r="N3" s="19">
        <f>LEN(M3)</f>
        <v/>
      </c>
      <c r="O3" s="19" t="inlineStr">
        <is>
          <t>- Title is only 10 chars - wasted space in the result; add the main keyword and a reason to click.
- No meta description - Google writes its own snippet, often a weak one.
- Top query 'invisalign cost' is not in the title.
- 43% of impressions are price searches but title/meta never mention price or cost.</t>
        </is>
      </c>
      <c r="P3" s="25" t="inlineStr">
        <is>
          <t>43% of impressions are price searches ('invisalign cost', 'invisalign payment plans'), but the title is just 'Invisalign' (10 chars) and there is no meta description. The result gives price-shoppers no reason to pick it over clinics that show prices.</t>
        </is>
      </c>
      <c r="Q3" s="25" t="inlineStr">
        <is>
          <t>Invisalign Parramatta: Cost &amp; Payment Plans Explained</t>
        </is>
      </c>
      <c r="R3" s="19">
        <f>LEN(Q3)</f>
        <v/>
      </c>
      <c r="S3" s="25" t="inlineStr">
        <is>
          <t>Invisalign Cost in Parramatta | Clear Aligners from [price]</t>
        </is>
      </c>
      <c r="T3" s="19">
        <f>LEN(S3)</f>
        <v/>
      </c>
      <c r="U3" s="25" t="inlineStr">
        <is>
          <t>Invisalign in Parramatta from [price], with payment plans to spread the cost. A 3D scan shows how your teeth will move before you start. Book a consult.</t>
        </is>
      </c>
      <c r="V3" s="19">
        <f>LEN(U3)</f>
        <v/>
      </c>
      <c r="W3" s="25" t="inlineStr">
        <is>
          <t>Thinking about Invisalign in Parramatta? See what clear aligners cost, how long treatment takes and how payment plans work. Book your 3D scan today.</t>
        </is>
      </c>
      <c r="X3" s="19">
        <f>LEN(W3)</f>
        <v/>
      </c>
      <c r="Y3" s="25" t="inlineStr">
        <is>
          <t>- H1: Invisalign Clear Aligners in Parramatta
- Confirm the starting price and payment-plan details before publishing (placeholders in title/meta)
- Add the pricing section (chunk C1) so the page delivers what the new snippet promises</t>
        </is>
      </c>
      <c r="Z3" s="19" t="inlineStr">
        <is>
          <t>To do</t>
        </is>
      </c>
    </row>
    <row r="4">
      <c r="A4" s="19" t="inlineStr">
        <is>
          <t>https://www.harbourdental.example/blog/invisalign-vs-braces/</t>
        </is>
      </c>
      <c r="B4" s="20" t="n">
        <v>57</v>
      </c>
      <c r="C4" s="20" t="n">
        <v>7063</v>
      </c>
      <c r="D4" s="21">
        <f>IFERROR(B4/C4,0)</f>
        <v/>
      </c>
      <c r="E4" s="22" t="n">
        <v>9</v>
      </c>
      <c r="F4" s="21" t="n">
        <v>0.022</v>
      </c>
      <c r="G4" s="23">
        <f>IFERROR(D4/F4,0)</f>
        <v/>
      </c>
      <c r="H4" s="20">
        <f>MAX(0,ROUND(C4*F4-B4,0))</f>
        <v/>
      </c>
      <c r="I4" s="26" t="inlineStr">
        <is>
          <t>Medium</t>
        </is>
      </c>
      <c r="J4" s="19" t="inlineStr">
        <is>
          <t>invisalign vs braces (3,262 impr, pos 7.5)
invisalign vs braces cost (1,109 impr, pos 10.7)
braces or invisalign for adults (694 impr, pos 10.3)
invisalign vs braces pros and cons (579 impr, pos 10.6)
which is faster invisalign or braces (393 impr, pos 11.5)</t>
        </is>
      </c>
      <c r="K4" s="19" t="inlineStr">
        <is>
          <t>Blog | Harbour Dental</t>
        </is>
      </c>
      <c r="L4" s="19">
        <f>LEN(K4)</f>
        <v/>
      </c>
      <c r="M4" s="19" t="inlineStr">
        <is>
          <t>Read our latest article from the Harbour Dental team.</t>
        </is>
      </c>
      <c r="N4" s="19">
        <f>LEN(M4)</f>
        <v/>
      </c>
      <c r="O4" s="19" t="inlineStr">
        <is>
          <t>- Title is only 21 chars - wasted space in the result; add the main keyword and a reason to click.
- Meta description is only 53 chars - too thin to sell the click.
- Top query 'invisalign vs braces' is not in the title.
- Meta description does not mention the top query 'invisalign vs braces'.
- Title does not match what people search for this page (generic title).
- 100% of impressions are comparison searches - a comparison table would match intent.</t>
        </is>
      </c>
      <c r="P4" s="25" t="inlineStr">
        <is>
          <t>Every impression is a comparison search, but the title tag is the blog template 'Blog | Harbour Dental' and the meta is boilerplate. Searchers can't tell this is the Invisalign vs braces comparison they want, so they click the results that say it.</t>
        </is>
      </c>
      <c r="Q4" s="25" t="inlineStr">
        <is>
          <t>Invisalign vs Braces: Cost, Speed &amp; Comfort Compared</t>
        </is>
      </c>
      <c r="R4" s="19">
        <f>LEN(Q4)</f>
        <v/>
      </c>
      <c r="S4" s="25" t="inlineStr">
        <is>
          <t>Invisalign or Braces for Adults? Pros, Cons &amp; Costs</t>
        </is>
      </c>
      <c r="T4" s="19">
        <f>LEN(S4)</f>
        <v/>
      </c>
      <c r="U4" s="25" t="inlineStr">
        <is>
          <t>Invisalign vs braces compared side by side: cost, treatment time, comfort and looks. Find out which suits adults and teens best, from a Parramatta dentist.</t>
        </is>
      </c>
      <c r="V4" s="19">
        <f>LEN(U4)</f>
        <v/>
      </c>
      <c r="W4" s="25" t="inlineStr">
        <is>
          <t>Braces or Invisalign? Compare cost, how fast each works, pros and cons, and which is better for adults. Clear table plus a dentist's honest verdict.</t>
        </is>
      </c>
      <c r="X4" s="19">
        <f>LEN(W4)</f>
        <v/>
      </c>
      <c r="Y4" s="25" t="inlineStr">
        <is>
          <t>- Fix the blog template so every post uses its own title tag, not 'Blog | Harbour Dental' (check other posts too)
- Add the comparison table (chunk C1) right after the intro so the page matches the comparison intent</t>
        </is>
      </c>
      <c r="Z4" s="19" t="inlineStr">
        <is>
          <t>To do</t>
        </is>
      </c>
    </row>
    <row r="5">
      <c r="A5" s="19" t="inlineStr">
        <is>
          <t>https://www.harbourdental.example/blog/how-long-do-dental-implants-last/</t>
        </is>
      </c>
      <c r="B5" s="20" t="n">
        <v>74</v>
      </c>
      <c r="C5" s="20" t="n">
        <v>5763</v>
      </c>
      <c r="D5" s="21">
        <f>IFERROR(B5/C5,0)</f>
        <v/>
      </c>
      <c r="E5" s="22" t="n">
        <v>8.800000000000001</v>
      </c>
      <c r="F5" s="21" t="n">
        <v>0.0228</v>
      </c>
      <c r="G5" s="23">
        <f>IFERROR(D5/F5,0)</f>
        <v/>
      </c>
      <c r="H5" s="20">
        <f>MAX(0,ROUND(C5*F5-B5,0))</f>
        <v/>
      </c>
      <c r="I5" s="27" t="inlineStr">
        <is>
          <t>Low</t>
        </is>
      </c>
      <c r="J5" s="19" t="inlineStr">
        <is>
          <t>how long do dental implants last (2,673 impr, pos 7.0)
dental implant lifespan (991 impr, pos 8.9)
do dental implants last forever (682 impr, pos 8.4)
dental implant failure signs (501 impr, pos 14.9)
implant vs bridge longevity (280 impr, pos 14.9)</t>
        </is>
      </c>
      <c r="K5" s="19" t="inlineStr">
        <is>
          <t>How Long Do Dental Implants Last? | Harbour Dental</t>
        </is>
      </c>
      <c r="L5" s="19">
        <f>LEN(K5)</f>
        <v/>
      </c>
      <c r="M5" s="19" t="inlineStr">
        <is>
          <t>How long do dental implants last? Learn about dental implants and how long they last.</t>
        </is>
      </c>
      <c r="N5" s="19">
        <f>LEN(M5)</f>
        <v/>
      </c>
      <c r="O5" s="19" t="inlineStr">
        <is>
          <t>- No obvious title/meta fault - check the live SERP: an AI Overview, featured snippet, People Also Ask, local pack or ads may be taking the clicks. Also confirm Google shows your title/meta and not a rewrite.</t>
        </is>
      </c>
      <c r="P5" s="25" t="inlineStr">
        <is>
          <t>Title and meta are on-topic, so the snippet isn't the main problem. For a question like 'how long do dental implants last', Google likely answers in an AI Overview or featured snippet, so fewer people need to click. Check the live SERP. Then win the answer box with a 40-60 word answer under the H1, and give the snippet a reason to click (implant vs crown lifespan, warning signs).</t>
        </is>
      </c>
      <c r="Q5" s="25" t="inlineStr">
        <is>
          <t>How Long Do Dental Implants Last? Lifespan &amp; Warning Signs</t>
        </is>
      </c>
      <c r="R5" s="19">
        <f>LEN(Q5)</f>
        <v/>
      </c>
      <c r="S5" s="25" t="inlineStr">
        <is>
          <t>Do Dental Implants Last Forever? Implant vs Crown Lifespan</t>
        </is>
      </c>
      <c r="T5" s="19">
        <f>LEN(S5)</f>
        <v/>
      </c>
      <c r="U5" s="25" t="inlineStr">
        <is>
          <t>With good care an implant post can last for decades, while the crown on top usually lasts 10-15 years. See what shortens implant life and warning signs.</t>
        </is>
      </c>
      <c r="V5" s="19">
        <f>LEN(U5)</f>
        <v/>
      </c>
      <c r="W5" s="25" t="inlineStr">
        <is>
          <t>Dental implants can last a lifetime, but the crown wears out sooner. See typical lifespans, what affects them, signs of failure and how to protect yours.</t>
        </is>
      </c>
      <c r="X5" s="19">
        <f>LEN(W5)</f>
        <v/>
      </c>
      <c r="Y5" s="25" t="inlineStr">
        <is>
          <t>- Add a 40-60 word direct answer as the first paragraph: post lasts decades with care, crown typically 10-15 years
- Add Article schema with datePublished/dateModified and show the updated date on the page</t>
        </is>
      </c>
      <c r="Z5" s="19" t="inlineStr">
        <is>
          <t>To do</t>
        </is>
      </c>
    </row>
  </sheetData>
  <autoFilter ref="A1:Z5"/>
  <conditionalFormatting sqref="Z2:Z5">
    <cfRule type="cellIs" priority="1" operator="equal" dxfId="0">
      <formula>"Done"</formula>
    </cfRule>
  </conditionalFormatting>
  <conditionalFormatting sqref="G2:G5">
    <cfRule type="colorScale" priority="2">
      <colorScale>
        <cfvo type="num" val="0"/>
        <cfvo type="num" val="1"/>
        <color rgb="00F87171"/>
        <color rgb="00FFFFFF"/>
      </colorScale>
    </cfRule>
  </conditionalFormatting>
  <conditionalFormatting sqref="L2:L5">
    <cfRule type="cellIs" priority="3" operator="greaterThan" dxfId="1">
      <formula>60</formula>
    </cfRule>
  </conditionalFormatting>
  <conditionalFormatting sqref="R2:R5">
    <cfRule type="cellIs" priority="4" operator="greaterThan" dxfId="1">
      <formula>60</formula>
    </cfRule>
  </conditionalFormatting>
  <conditionalFormatting sqref="T2:T5">
    <cfRule type="cellIs" priority="5" operator="greaterThan" dxfId="1">
      <formula>60</formula>
    </cfRule>
  </conditionalFormatting>
  <conditionalFormatting sqref="N2:N5">
    <cfRule type="cellIs" priority="6" operator="greaterThan" dxfId="1">
      <formula>160</formula>
    </cfRule>
    <cfRule type="expression" priority="9" dxfId="1">
      <formula>AND(N2&gt;0,N2&lt;70)</formula>
    </cfRule>
  </conditionalFormatting>
  <conditionalFormatting sqref="V2:V5">
    <cfRule type="cellIs" priority="7" operator="greaterThan" dxfId="1">
      <formula>160</formula>
    </cfRule>
    <cfRule type="expression" priority="10" dxfId="1">
      <formula>AND(V2&gt;0,V2&lt;70)</formula>
    </cfRule>
  </conditionalFormatting>
  <conditionalFormatting sqref="X2:X5">
    <cfRule type="cellIs" priority="8" operator="greaterThan" dxfId="1">
      <formula>160</formula>
    </cfRule>
    <cfRule type="expression" priority="11" dxfId="1">
      <formula>AND(X2&gt;0,X2&lt;70)</formula>
    </cfRule>
  </conditionalFormatting>
  <dataValidations count="1">
    <dataValidation sqref="Z2:Z5" showDropDown="0" showInputMessage="0" showErrorMessage="0" allowBlank="1" type="list">
      <formula1>"To do,In progress,Done,Skipped"</formula1>
    </dataValidation>
  </dataValidations>
  <pageMargins left="0.75" right="0.75" top="1" bottom="1" header="0.5" footer="0.5"/>
</worksheet>
</file>

<file path=xl/worksheets/sheet3.xml><?xml version="1.0" encoding="utf-8"?>
<worksheet xmlns="http://schemas.openxmlformats.org/spreadsheetml/2006/main">
  <sheetPr>
    <tabColor rgb="00FBBF24"/>
    <outlinePr summaryBelow="1" summaryRight="1"/>
    <pageSetUpPr/>
  </sheetPr>
  <dimension ref="A1:Q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2" customWidth="1" min="1" max="1"/>
    <col width="7" customWidth="1" min="2" max="2"/>
    <col width="9" customWidth="1" min="3" max="3"/>
    <col width="12" customWidth="1" min="4" max="4"/>
    <col width="9" customWidth="1" min="5" max="5"/>
    <col width="8" customWidth="1" min="6" max="6"/>
    <col width="12" customWidth="1" min="7" max="7"/>
    <col width="9" customWidth="1" min="8" max="8"/>
    <col width="44" customWidth="1" min="9" max="9"/>
    <col width="9" customWidth="1" min="10" max="10"/>
    <col width="9" customWidth="1" min="11" max="11"/>
    <col width="44" customWidth="1" min="12" max="12"/>
    <col width="60" customWidth="1" min="13" max="13"/>
    <col width="44" customWidth="1" min="14" max="14"/>
    <col width="36" customWidth="1" min="15" max="15"/>
    <col width="7" customWidth="1" min="16" max="16"/>
    <col width="11" customWidth="1" min="17" max="17"/>
  </cols>
  <sheetData>
    <row r="1" ht="32" customHeight="1">
      <c r="A1" s="18" t="inlineStr">
        <is>
          <t>Page URL</t>
        </is>
      </c>
      <c r="B1" s="18" t="inlineStr">
        <is>
          <t>SERP page</t>
        </is>
      </c>
      <c r="C1" s="18" t="inlineStr">
        <is>
          <t>Clicks</t>
        </is>
      </c>
      <c r="D1" s="18" t="inlineStr">
        <is>
          <t>Impressions</t>
        </is>
      </c>
      <c r="E1" s="18" t="inlineStr">
        <is>
          <t>Avg position</t>
        </is>
      </c>
      <c r="F1" s="18" t="inlineStr">
        <is>
          <t>CTR</t>
        </is>
      </c>
      <c r="G1" s="18" t="inlineStr">
        <is>
          <t>Est. clicks at position 5</t>
        </is>
      </c>
      <c r="H1" s="18" t="inlineStr">
        <is>
          <t>Priority</t>
        </is>
      </c>
      <c r="I1" s="18" t="inlineStr">
        <is>
          <t>Keywords on page 2-3</t>
        </is>
      </c>
      <c r="J1" s="18" t="inlineStr">
        <is>
          <t>Word count</t>
        </is>
      </c>
      <c r="K1" s="18" t="inlineStr">
        <is>
          <t>Keyword gaps</t>
        </is>
      </c>
      <c r="L1" s="18" t="inlineStr">
        <is>
          <t>Diagnosis</t>
        </is>
      </c>
      <c r="M1" s="18" t="inlineStr">
        <is>
          <t>Push-to-page-1 plan</t>
        </is>
      </c>
      <c r="N1" s="18" t="inlineStr">
        <is>
          <t>Internal links to add</t>
        </is>
      </c>
      <c r="O1" s="18" t="inlineStr">
        <is>
          <t>Suggested title / H1 (optional)</t>
        </is>
      </c>
      <c r="P1" s="18" t="inlineStr">
        <is>
          <t>Title chars</t>
        </is>
      </c>
      <c r="Q1" s="18" t="inlineStr">
        <is>
          <t>Status</t>
        </is>
      </c>
    </row>
    <row r="2">
      <c r="A2" s="19" t="inlineStr">
        <is>
          <t>https://www.harbourdental.example/services/dental-implants/</t>
        </is>
      </c>
      <c r="B2" s="19">
        <f>IF(E2&lt;21,2,3)</f>
        <v/>
      </c>
      <c r="C2" s="20" t="n">
        <v>131</v>
      </c>
      <c r="D2" s="20" t="n">
        <v>16978</v>
      </c>
      <c r="E2" s="22" t="n">
        <v>17.8</v>
      </c>
      <c r="F2" s="21">
        <f>IFERROR(C2/D2,0)</f>
        <v/>
      </c>
      <c r="G2" s="20">
        <f>MAX(0,ROUND(D2*'Method &amp; Notes'!$B$12-C2,0))</f>
        <v/>
      </c>
      <c r="H2" s="24" t="inlineStr">
        <is>
          <t>High</t>
        </is>
      </c>
      <c r="I2" s="19" t="inlineStr">
        <is>
          <t>dental implants (pos 20.2, 5,497 impr)
dental implants cost (pos 18.1, 4,035 impr)
dental implants parramatta (pos 11.1, 1,764 impr)
all on 4 dental implants (pos 19.5, 1,517 impr)
single tooth implant (pos 15.2, 947 impr)
are dental implants painful (pos 14.6, 540 impr)
dental implants payment plan (pos 16.1, 367 impr)</t>
        </is>
      </c>
      <c r="J2" s="19" t="n">
        <v>104</v>
      </c>
      <c r="K2" s="19">
        <f>COUNTIF('Keyword Gaps'!$A:$A,A2)</f>
        <v/>
      </c>
      <c r="L2" s="25" t="inlineStr">
        <is>
          <t>Ranks 11-20 for seven implant queries but never mentions cost, even though 'dental implants cost' alone brings 4,000+ impressions. Searches for All-on-4 and single-tooth implants also land here with nothing to answer them. At about 90 words the page is far thinner than the guides that typically rank top 3.</t>
        </is>
      </c>
      <c r="M2" s="25" t="inlineStr">
        <is>
          <t>1. Add chunk C1 (pricing section: 'dental implants cost', 'payment plan', 4,402 impressions) right after the intro
2. Add chunks C2 (All-on-4) and C3 (single tooth implant) as new H2 sections: 2,464 impressions currently land on a page that never mentions them
3. Add the FAQ (chunk C4, 'Are dental implants painful?') before 'Why choose Harbour Dental'
4. Internal links: from /blog/how-long-do-dental-implants-last/ (anchor 'dental implants') and from the homepage services block
5. Update the title to 'Dental Implants Parramatta | Cost, All-on-4 &amp; Single Tooth' once the new sections are live
6. Add trust signals: implant dentist bio, years of experience, real before/after photos, implant brand and warranty</t>
        </is>
      </c>
      <c r="N2" s="25" t="inlineStr">
        <is>
          <t>/blog/how-long-do-dental-implants-last/ -&gt; anchor 'dental implants'</t>
        </is>
      </c>
      <c r="O2" s="25" t="inlineStr"/>
      <c r="P2" s="19">
        <f>IF(LEN(O2)=0,0,IFERROR(FIND(CHAR(10),O2)-1,LEN(O2)))</f>
        <v/>
      </c>
      <c r="Q2" s="19" t="inlineStr">
        <is>
          <t>To do</t>
        </is>
      </c>
    </row>
    <row r="3">
      <c r="A3" s="19" t="inlineStr">
        <is>
          <t>https://www.harbourdental.example/services/root-canal/</t>
        </is>
      </c>
      <c r="B3" s="19">
        <f>IF(E3&lt;21,2,3)</f>
        <v/>
      </c>
      <c r="C3" s="20" t="n">
        <v>50</v>
      </c>
      <c r="D3" s="20" t="n">
        <v>10832</v>
      </c>
      <c r="E3" s="22" t="n">
        <v>24.7</v>
      </c>
      <c r="F3" s="21">
        <f>IFERROR(C3/D3,0)</f>
        <v/>
      </c>
      <c r="G3" s="20">
        <f>MAX(0,ROUND(D3*'Method &amp; Notes'!$B$12-C3,0))</f>
        <v/>
      </c>
      <c r="H3" s="24" t="inlineStr">
        <is>
          <t>High</t>
        </is>
      </c>
      <c r="I3" s="19" t="inlineStr">
        <is>
          <t>root canal treatment (pos 26.2, 3,352 impr)
root canal cost (pos 24.6, 2,228 impr)
does a root canal hurt (pos 23.7, 1,138 impr)
root canal parramatta (pos 20.0, 1,029 impr)
root canal recovery time (pos 25.8, 801 impr)</t>
        </is>
      </c>
      <c r="J3" s="19" t="n">
        <v>86</v>
      </c>
      <c r="K3" s="19">
        <f>COUNTIF('Keyword Gaps'!$A:$A,A3)</f>
        <v/>
      </c>
      <c r="L3" s="25" t="inlineStr">
        <is>
          <t>Page 3 (pos ~25) for 'root canal treatment' (3,350 impressions) with a page of about 90 words. The queries show people want cost, pain and recovery answers, and the page covers none of them. This needs an expansion, not tweaks.</t>
        </is>
      </c>
      <c r="M3" s="25" t="inlineStr">
        <is>
          <t>1. Expand the page to a full root canal guide (aim to cover: signs, steps, pain, recovery, cost, aftercare) using chunks C1-C4
2. Add chunk C1 (cost section) and chunk C4 (recovery time) as new H2s; add the FAQ chunk C2 ('Does a root canal hurt?')
3. Work 'root canal treatment in Parramatta' into the intro and H1 (chunk C3)
4. Link from /services/emergency-dentist/ (782 clicks; toothache visitors often need a root canal) with anchor 'root canal treatment'
5. Link from /services/dental-crowns/ where it mentions crowns after root canals
6. Request indexing in GSC after the update and re-check in 6-8 weeks (page 3 moves slower)</t>
        </is>
      </c>
      <c r="N3" s="25" t="inlineStr"/>
      <c r="O3" s="25" t="inlineStr"/>
      <c r="P3" s="19">
        <f>IF(LEN(O3)=0,0,IFERROR(FIND(CHAR(10),O3)-1,LEN(O3)))</f>
        <v/>
      </c>
      <c r="Q3" s="19" t="inlineStr">
        <is>
          <t>To do</t>
        </is>
      </c>
    </row>
    <row r="4">
      <c r="A4" s="19" t="inlineStr">
        <is>
          <t>https://www.harbourdental.example/blog/teeth-whitening-cost/</t>
        </is>
      </c>
      <c r="B4" s="19">
        <f>IF(E4&lt;21,2,3)</f>
        <v/>
      </c>
      <c r="C4" s="20" t="n">
        <v>64</v>
      </c>
      <c r="D4" s="20" t="n">
        <v>8380</v>
      </c>
      <c r="E4" s="22" t="n">
        <v>16.8</v>
      </c>
      <c r="F4" s="21">
        <f>IFERROR(C4/D4,0)</f>
        <v/>
      </c>
      <c r="G4" s="20">
        <f>MAX(0,ROUND(D4*'Method &amp; Notes'!$B$12-C4,0))</f>
        <v/>
      </c>
      <c r="H4" s="26" t="inlineStr">
        <is>
          <t>Medium</t>
        </is>
      </c>
      <c r="I4" s="19" t="inlineStr">
        <is>
          <t>teeth whitening cost (pos 15.6, 3,235 impr)
how much is teeth whitening (pos 16.8, 1,275 impr)
teeth whitening cost australia (pos 18.0, 1,054 impr)
zoom whitening price (pos 19.3, 620 impr)
take home whitening kit cost (pos 20.1, 400 impr)</t>
        </is>
      </c>
      <c r="J4" s="19" t="n">
        <v>57</v>
      </c>
      <c r="K4" s="19">
        <f>COUNTIF('Keyword Gaps'!$A:$A,A4)</f>
        <v/>
      </c>
      <c r="L4" s="25" t="inlineStr">
        <is>
          <t>A cost page that doesn't show a single price ('Contact us for current prices'), so it can't satisfy any of its price queries. It also competes with the teeth whitening service page for 'teeth whitening cost' (5,300 impressions split between the two).</t>
        </is>
      </c>
      <c r="M4" s="25" t="inlineStr">
        <is>
          <t>1. Add chunk C1 right after the intro: price table for in-chair, Zoom and take-home whitening, plus what changes the price
2. Make this page the owner of 'teeth whitening cost': the service page links here with that anchor (chunk C2 on the service page) and drops cost from its title
3. Add an 'In-chair vs take-home: which is better value?' paragraph comparing results and price per treatment
4. Retitle to 'Teeth Whitening Cost: In-Chair, Zoom &amp; Take-Home Prices' and show an updated date
5. Add author/dentist byline and link to the service page with anchor 'professional teeth whitening'</t>
        </is>
      </c>
      <c r="N4" s="25" t="inlineStr">
        <is>
          <t>/services/teeth-whitening/ -&gt; anchor 'teeth whitening cost'</t>
        </is>
      </c>
      <c r="O4" s="25" t="inlineStr"/>
      <c r="P4" s="19">
        <f>IF(LEN(O4)=0,0,IFERROR(FIND(CHAR(10),O4)-1,LEN(O4)))</f>
        <v/>
      </c>
      <c r="Q4" s="19" t="inlineStr">
        <is>
          <t>To do</t>
        </is>
      </c>
    </row>
    <row r="5">
      <c r="A5" s="19" t="inlineStr">
        <is>
          <t>https://www.harbourdental.example/services/childrens-dentistry/</t>
        </is>
      </c>
      <c r="B5" s="19">
        <f>IF(E5&lt;21,2,3)</f>
        <v/>
      </c>
      <c r="C5" s="20" t="n">
        <v>75</v>
      </c>
      <c r="D5" s="20" t="n">
        <v>7609</v>
      </c>
      <c r="E5" s="22" t="n">
        <v>13.6</v>
      </c>
      <c r="F5" s="21">
        <f>IFERROR(C5/D5,0)</f>
        <v/>
      </c>
      <c r="G5" s="20">
        <f>MAX(0,ROUND(D5*'Method &amp; Notes'!$B$12-C5,0))</f>
        <v/>
      </c>
      <c r="H5" s="27" t="inlineStr">
        <is>
          <t>Low</t>
        </is>
      </c>
      <c r="I5" s="19" t="inlineStr">
        <is>
          <t>kids dentist near me (pos 13.0, 1,839 impr)
child dental benefits schedule (pos 15.4, 1,580 impr)
childrens dentist parramatta (pos 11.0, 1,492 impr)
bulk billing kids dentist (pos 14.4, 804 impr)
first dental visit age (pos 16.9, 548 impr)</t>
        </is>
      </c>
      <c r="J5" s="19" t="n">
        <v>55</v>
      </c>
      <c r="K5" s="19">
        <f>COUNTIF('Keyword Gaps'!$A:$A,A5)</f>
        <v/>
      </c>
      <c r="L5" s="25" t="inlineStr">
        <is>
          <t>Sits at the top of page 2 (~13) for 'kids dentist near me' and 'childrens dentist parramatta', but the page never names Parramatta or mentions the Child Dental Benefits Schedule or bulk billing, which parents are clearly searching for (2,400+ impressions).</t>
        </is>
      </c>
      <c r="M5" s="25" t="inlineStr">
        <is>
          <t>1. Add the location sentence (chunk C3) and local signals (chunk C1) to the intro
2. Add chunk C2 (Child Dental Benefits Schedule section) with chunk C4 (bulk billing) inside it
3. Add chunk C5 ('When should your child first see a dentist?') as a new H2
4. Rename the H1 to 'Children's Dentist in Parramatta'
5. Link from the homepage and from /services/emergency-dentist/ ('children's dentist')</t>
        </is>
      </c>
      <c r="N5" s="25" t="inlineStr"/>
      <c r="O5" s="25" t="inlineStr"/>
      <c r="P5" s="19">
        <f>IF(LEN(O5)=0,0,IFERROR(FIND(CHAR(10),O5)-1,LEN(O5)))</f>
        <v/>
      </c>
      <c r="Q5" s="19" t="inlineStr">
        <is>
          <t>To do</t>
        </is>
      </c>
    </row>
    <row r="6">
      <c r="A6" s="19" t="inlineStr">
        <is>
          <t>https://www.harbourdental.example/services/dental-crowns/</t>
        </is>
      </c>
      <c r="B6" s="19">
        <f>IF(E6&lt;21,2,3)</f>
        <v/>
      </c>
      <c r="C6" s="20" t="n">
        <v>18</v>
      </c>
      <c r="D6" s="20" t="n">
        <v>4777</v>
      </c>
      <c r="E6" s="22" t="n">
        <v>26.4</v>
      </c>
      <c r="F6" s="21">
        <f>IFERROR(C6/D6,0)</f>
        <v/>
      </c>
      <c r="G6" s="20">
        <f>MAX(0,ROUND(D6*'Method &amp; Notes'!$B$12-C6,0))</f>
        <v/>
      </c>
      <c r="H6" s="27" t="inlineStr">
        <is>
          <t>Low</t>
        </is>
      </c>
      <c r="I6" s="19" t="inlineStr">
        <is>
          <t>dental crown cost (pos 26.4, 1,817 impr)
porcelain crowns (pos 27.9, 653 impr)
dental crowns parramatta (pos 22.1, 643 impr)
crown vs filling (pos 29.6, 568 impr)</t>
        </is>
      </c>
      <c r="J6" s="19" t="n">
        <v>40</v>
      </c>
      <c r="K6" s="19">
        <f>COUNTIF('Keyword Gaps'!$A:$A,A6)</f>
        <v/>
      </c>
      <c r="L6" s="25" t="inlineStr">
        <is>
          <t>Page 3 (pos ~26) with a 40-word page. Cost searches are half of all impressions ('dental crown cost'), and 'crown vs filling' and 'porcelain crowns' have no matching content. The page needs to become a real service page before tweaks will matter.</t>
        </is>
      </c>
      <c r="M6" s="25" t="inlineStr">
        <is>
          <t>1. Rewrite into a full crowns page: what a crown is, when you need one, crown vs filling (chunk C4), materials, cost (chunk C1), the process, aftercare
2. Add chunk C1 (cost section) and chunk C4 (crown vs filling table) as new H2s
3. Apply the sentence edit for 'porcelain crowns' (chunk C2) and the location sentence (chunk C3)
4. Link from /services/root-canal/ ('a crown to protect the tooth') and from the homepage services block
5. Retitle to 'Dental Crowns Parramatta | Cost, Porcelain &amp; Zirconia Crowns'</t>
        </is>
      </c>
      <c r="N6" s="25" t="inlineStr"/>
      <c r="O6" s="25" t="inlineStr"/>
      <c r="P6" s="19">
        <f>IF(LEN(O6)=0,0,IFERROR(FIND(CHAR(10),O6)-1,LEN(O6)))</f>
        <v/>
      </c>
      <c r="Q6" s="19" t="inlineStr">
        <is>
          <t>To do</t>
        </is>
      </c>
    </row>
  </sheetData>
  <autoFilter ref="A1:Q6"/>
  <conditionalFormatting sqref="Q2:Q6">
    <cfRule type="cellIs" priority="1" operator="equal" dxfId="0">
      <formula>"Done"</formula>
    </cfRule>
  </conditionalFormatting>
  <dataValidations count="1">
    <dataValidation sqref="Q2:Q6" showDropDown="0" showInputMessage="0" showErrorMessage="0" allowBlank="1" type="list">
      <formula1>"To do,In progress,Done,Skipped"</formula1>
    </dataValidation>
  </dataValidations>
  <pageMargins left="0.75" right="0.75" top="1" bottom="1" header="0.5" footer="0.5"/>
</worksheet>
</file>

<file path=xl/worksheets/sheet4.xml><?xml version="1.0" encoding="utf-8"?>
<worksheet xmlns="http://schemas.openxmlformats.org/spreadsheetml/2006/main">
  <sheetPr>
    <tabColor rgb="00A78BFA"/>
    <outlinePr summaryBelow="1" summaryRight="1"/>
    <pageSetUpPr/>
  </sheetPr>
  <dimension ref="A1:O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2" customWidth="1" min="1" max="1"/>
    <col width="34" customWidth="1" min="2" max="2"/>
    <col width="11" customWidth="1" min="3" max="3"/>
    <col width="8" customWidth="1" min="4" max="4"/>
    <col width="8" customWidth="1" min="5" max="5"/>
    <col width="14" customWidth="1" min="6" max="6"/>
    <col width="14" customWidth="1" min="7" max="7"/>
    <col width="7" customWidth="1" min="8" max="8"/>
    <col width="7" customWidth="1" min="9" max="9"/>
    <col width="8" customWidth="1" min="10" max="10"/>
    <col width="9" customWidth="1" min="11" max="11"/>
    <col width="18" customWidth="1" min="12" max="12"/>
    <col width="7" customWidth="1" min="13" max="13"/>
    <col width="40" customWidth="1" min="14" max="14"/>
    <col width="40" customWidth="1" min="15" max="15"/>
  </cols>
  <sheetData>
    <row r="1" ht="32" customHeight="1">
      <c r="A1" s="18" t="inlineStr">
        <is>
          <t>Page URL</t>
        </is>
      </c>
      <c r="B1" s="18" t="inlineStr">
        <is>
          <t>Keyword (ranking query)</t>
        </is>
      </c>
      <c r="C1" s="18" t="inlineStr">
        <is>
          <t>Impressions</t>
        </is>
      </c>
      <c r="D1" s="18" t="inlineStr">
        <is>
          <t>Clicks</t>
        </is>
      </c>
      <c r="E1" s="18" t="inlineStr">
        <is>
          <t>Position</t>
        </is>
      </c>
      <c r="F1" s="18" t="inlineStr">
        <is>
          <t>Status</t>
        </is>
      </c>
      <c r="G1" s="18" t="inlineStr">
        <is>
          <t>Intent</t>
        </is>
      </c>
      <c r="H1" s="18" t="inlineStr">
        <is>
          <t>In title</t>
        </is>
      </c>
      <c r="I1" s="18" t="inlineStr">
        <is>
          <t>In H1</t>
        </is>
      </c>
      <c r="J1" s="18" t="inlineStr">
        <is>
          <t>In H2/H3</t>
        </is>
      </c>
      <c r="K1" s="18" t="inlineStr">
        <is>
          <t>Body mentions</t>
        </is>
      </c>
      <c r="L1" s="18" t="inlineStr">
        <is>
          <t>Missing words</t>
        </is>
      </c>
      <c r="M1" s="18" t="inlineStr">
        <is>
          <t>Chunk ID</t>
        </is>
      </c>
      <c r="N1" s="18" t="inlineStr">
        <is>
          <t>Fix type</t>
        </is>
      </c>
      <c r="O1" s="18" t="inlineStr">
        <is>
          <t>Where on the page</t>
        </is>
      </c>
    </row>
    <row r="2">
      <c r="A2" s="19" t="inlineStr">
        <is>
          <t>https://www.harbourdental.example/services/teeth-whitening/</t>
        </is>
      </c>
      <c r="B2" s="19" t="inlineStr">
        <is>
          <t>teeth whitening parramatta</t>
        </is>
      </c>
      <c r="C2" s="20" t="n">
        <v>4360</v>
      </c>
      <c r="D2" s="19" t="n">
        <v>154</v>
      </c>
      <c r="E2" s="19" t="n">
        <v>3.3</v>
      </c>
      <c r="F2" s="28" t="inlineStr">
        <is>
          <t>Scattered terms</t>
        </is>
      </c>
      <c r="G2" s="19" t="inlineStr">
        <is>
          <t>Topic / modifier</t>
        </is>
      </c>
      <c r="H2" s="29" t="inlineStr">
        <is>
          <t>No</t>
        </is>
      </c>
      <c r="I2" s="29" t="inlineStr">
        <is>
          <t>No</t>
        </is>
      </c>
      <c r="J2" s="29" t="inlineStr">
        <is>
          <t>No</t>
        </is>
      </c>
      <c r="K2" s="19" t="n">
        <v>0</v>
      </c>
      <c r="L2" s="19" t="inlineStr"/>
      <c r="M2" s="19" t="inlineStr">
        <is>
          <t>C1</t>
        </is>
      </c>
      <c r="N2" s="19" t="inlineStr">
        <is>
          <t>Location sentence: use the phrase once in the intro and once in a heading or the title</t>
        </is>
      </c>
      <c r="O2" s="19" t="inlineStr">
        <is>
          <t>Intro paragraph (first 100 words), plus the H1 or title if it is a top query</t>
        </is>
      </c>
    </row>
    <row r="3">
      <c r="A3" s="19" t="inlineStr">
        <is>
          <t>https://www.harbourdental.example/services/teeth-whitening/</t>
        </is>
      </c>
      <c r="B3" s="19" t="inlineStr">
        <is>
          <t>teeth whitening cost</t>
        </is>
      </c>
      <c r="C3" s="20" t="n">
        <v>2070</v>
      </c>
      <c r="D3" s="19" t="n">
        <v>9</v>
      </c>
      <c r="E3" s="19" t="n">
        <v>12.7</v>
      </c>
      <c r="F3" s="30" t="inlineStr">
        <is>
          <t>Partial</t>
        </is>
      </c>
      <c r="G3" s="19" t="inlineStr">
        <is>
          <t>Cost / pricing</t>
        </is>
      </c>
      <c r="H3" s="29" t="inlineStr">
        <is>
          <t>No</t>
        </is>
      </c>
      <c r="I3" s="29" t="inlineStr">
        <is>
          <t>No</t>
        </is>
      </c>
      <c r="J3" s="29" t="inlineStr">
        <is>
          <t>No</t>
        </is>
      </c>
      <c r="K3" s="19" t="n">
        <v>0</v>
      </c>
      <c r="L3" s="19" t="inlineStr">
        <is>
          <t>cost</t>
        </is>
      </c>
      <c r="M3" s="19" t="inlineStr">
        <is>
          <t>C2</t>
        </is>
      </c>
      <c r="N3" s="19" t="inlineStr">
        <is>
          <t>Pricing section: price range or 'from $X', what changes the cost, payment options</t>
        </is>
      </c>
      <c r="O3" s="19" t="inlineStr">
        <is>
          <t>New 'Cost' section before 'Book Your Appointment'</t>
        </is>
      </c>
    </row>
    <row r="4">
      <c r="A4" s="19" t="inlineStr">
        <is>
          <t>https://www.harbourdental.example/services/teeth-whitening/</t>
        </is>
      </c>
      <c r="B4" s="19" t="inlineStr">
        <is>
          <t>professional teeth whitening</t>
        </is>
      </c>
      <c r="C4" s="20" t="n">
        <v>1439</v>
      </c>
      <c r="D4" s="19" t="n">
        <v>42</v>
      </c>
      <c r="E4" s="19" t="n">
        <v>3.5</v>
      </c>
      <c r="F4" s="31" t="inlineStr">
        <is>
          <t>Not in headings</t>
        </is>
      </c>
      <c r="G4" s="19" t="inlineStr">
        <is>
          <t>Topic / modifier</t>
        </is>
      </c>
      <c r="H4" s="29" t="inlineStr">
        <is>
          <t>No</t>
        </is>
      </c>
      <c r="I4" s="29" t="inlineStr">
        <is>
          <t>No</t>
        </is>
      </c>
      <c r="J4" s="29" t="inlineStr">
        <is>
          <t>No</t>
        </is>
      </c>
      <c r="K4" s="19" t="n">
        <v>1</v>
      </c>
      <c r="L4" s="19" t="inlineStr"/>
      <c r="M4" s="19" t="inlineStr">
        <is>
          <t>C3</t>
        </is>
      </c>
      <c r="N4" s="19" t="inlineStr">
        <is>
          <t>Heading edit: work the phrase into an existing H2/H3 (and title/meta if it is the top query)</t>
        </is>
      </c>
      <c r="O4" s="19" t="inlineStr">
        <is>
          <t>Rewrite H2 'Our Whitening Treatments'</t>
        </is>
      </c>
    </row>
    <row r="5">
      <c r="A5" s="19" t="inlineStr">
        <is>
          <t>https://www.harbourdental.example/services/teeth-whitening/</t>
        </is>
      </c>
      <c r="B5" s="19" t="inlineStr">
        <is>
          <t>how long does teeth whitening last</t>
        </is>
      </c>
      <c r="C5" s="20" t="n">
        <v>994</v>
      </c>
      <c r="D5" s="19" t="n">
        <v>13</v>
      </c>
      <c r="E5" s="19" t="n">
        <v>7</v>
      </c>
      <c r="F5" s="30" t="inlineStr">
        <is>
          <t>Partial</t>
        </is>
      </c>
      <c r="G5" s="19" t="inlineStr">
        <is>
          <t>Question</t>
        </is>
      </c>
      <c r="H5" s="29" t="inlineStr">
        <is>
          <t>No</t>
        </is>
      </c>
      <c r="I5" s="29" t="inlineStr">
        <is>
          <t>No</t>
        </is>
      </c>
      <c r="J5" s="29" t="inlineStr">
        <is>
          <t>No</t>
        </is>
      </c>
      <c r="K5" s="19" t="n">
        <v>0</v>
      </c>
      <c r="L5" s="19" t="inlineStr">
        <is>
          <t>long, last</t>
        </is>
      </c>
      <c r="M5" s="19" t="inlineStr">
        <is>
          <t>C4</t>
        </is>
      </c>
      <c r="N5" s="19" t="inlineStr">
        <is>
          <t>FAQ: the question as an H3 + a 40-60 word direct answer</t>
        </is>
      </c>
      <c r="O5" s="19" t="inlineStr">
        <is>
          <t>New FAQ section before 'Book Your Appointment'</t>
        </is>
      </c>
    </row>
    <row r="6">
      <c r="A6" s="19" t="inlineStr">
        <is>
          <t>https://www.harbourdental.example/services/teeth-whitening/</t>
        </is>
      </c>
      <c r="B6" s="19" t="inlineStr">
        <is>
          <t>zoom teeth whitening</t>
        </is>
      </c>
      <c r="C6" s="20" t="n">
        <v>796</v>
      </c>
      <c r="D6" s="19" t="n">
        <v>19</v>
      </c>
      <c r="E6" s="19" t="n">
        <v>4.8</v>
      </c>
      <c r="F6" s="30" t="inlineStr">
        <is>
          <t>Partial</t>
        </is>
      </c>
      <c r="G6" s="19" t="inlineStr">
        <is>
          <t>Topic / modifier</t>
        </is>
      </c>
      <c r="H6" s="29" t="inlineStr">
        <is>
          <t>No</t>
        </is>
      </c>
      <c r="I6" s="29" t="inlineStr">
        <is>
          <t>No</t>
        </is>
      </c>
      <c r="J6" s="29" t="inlineStr">
        <is>
          <t>No</t>
        </is>
      </c>
      <c r="K6" s="19" t="n">
        <v>0</v>
      </c>
      <c r="L6" s="19" t="inlineStr">
        <is>
          <t>zoom</t>
        </is>
      </c>
      <c r="M6" s="19" t="inlineStr">
        <is>
          <t>C5</t>
        </is>
      </c>
      <c r="N6" s="19" t="inlineStr">
        <is>
          <t>New H2/H3 section (80-150 words)</t>
        </is>
      </c>
      <c r="O6" s="19" t="inlineStr">
        <is>
          <t>New H2 section before 'Book Your Appointment'</t>
        </is>
      </c>
    </row>
    <row r="7">
      <c r="A7" s="19" t="inlineStr">
        <is>
          <t>https://www.harbourdental.example/services/teeth-whitening/</t>
        </is>
      </c>
      <c r="B7" s="19" t="inlineStr">
        <is>
          <t>is teeth whitening safe</t>
        </is>
      </c>
      <c r="C7" s="20" t="n">
        <v>615</v>
      </c>
      <c r="D7" s="19" t="n">
        <v>6</v>
      </c>
      <c r="E7" s="19" t="n">
        <v>7.6</v>
      </c>
      <c r="F7" s="30" t="inlineStr">
        <is>
          <t>Partial</t>
        </is>
      </c>
      <c r="G7" s="19" t="inlineStr">
        <is>
          <t>Question</t>
        </is>
      </c>
      <c r="H7" s="29" t="inlineStr">
        <is>
          <t>No</t>
        </is>
      </c>
      <c r="I7" s="29" t="inlineStr">
        <is>
          <t>No</t>
        </is>
      </c>
      <c r="J7" s="29" t="inlineStr">
        <is>
          <t>No</t>
        </is>
      </c>
      <c r="K7" s="19" t="n">
        <v>0</v>
      </c>
      <c r="L7" s="19" t="inlineStr">
        <is>
          <t>safe</t>
        </is>
      </c>
      <c r="M7" s="19" t="inlineStr">
        <is>
          <t>C4</t>
        </is>
      </c>
      <c r="N7" s="19" t="inlineStr">
        <is>
          <t>FAQ: the question as an H3 + a 40-60 word direct answer</t>
        </is>
      </c>
      <c r="O7" s="19" t="inlineStr">
        <is>
          <t>New FAQ section before 'Book Your Appointment'</t>
        </is>
      </c>
    </row>
    <row r="8">
      <c r="A8" s="19" t="inlineStr">
        <is>
          <t>https://www.harbourdental.example/services/teeth-whitening/</t>
        </is>
      </c>
      <c r="B8" s="19" t="inlineStr">
        <is>
          <t>in chair teeth whitening</t>
        </is>
      </c>
      <c r="C8" s="20" t="n">
        <v>410</v>
      </c>
      <c r="D8" s="19" t="n">
        <v>10</v>
      </c>
      <c r="E8" s="19" t="n">
        <v>4.4</v>
      </c>
      <c r="F8" s="28" t="inlineStr">
        <is>
          <t>Scattered terms</t>
        </is>
      </c>
      <c r="G8" s="19" t="inlineStr">
        <is>
          <t>Topic / modifier</t>
        </is>
      </c>
      <c r="H8" s="29" t="inlineStr">
        <is>
          <t>No</t>
        </is>
      </c>
      <c r="I8" s="29" t="inlineStr">
        <is>
          <t>No</t>
        </is>
      </c>
      <c r="J8" s="29" t="inlineStr">
        <is>
          <t>No</t>
        </is>
      </c>
      <c r="K8" s="19" t="n">
        <v>0</v>
      </c>
      <c r="L8" s="19" t="inlineStr"/>
      <c r="M8" s="19" t="inlineStr">
        <is>
          <t>C6</t>
        </is>
      </c>
      <c r="N8" s="19" t="inlineStr">
        <is>
          <t>Sentence edit: add the exact phrase naturally to an existing paragraph</t>
        </is>
      </c>
      <c r="O8" s="19" t="inlineStr">
        <is>
          <t>An existing paragraph under 'Our Whitening Treatments'</t>
        </is>
      </c>
    </row>
    <row r="9">
      <c r="A9" s="19" t="inlineStr">
        <is>
          <t>https://www.harbourdental.example/services/invisalign/</t>
        </is>
      </c>
      <c r="B9" s="19" t="inlineStr">
        <is>
          <t>invisalign cost</t>
        </is>
      </c>
      <c r="C9" s="20" t="n">
        <v>3226</v>
      </c>
      <c r="D9" s="19" t="n">
        <v>27</v>
      </c>
      <c r="E9" s="19" t="n">
        <v>9.6</v>
      </c>
      <c r="F9" s="30" t="inlineStr">
        <is>
          <t>Partial</t>
        </is>
      </c>
      <c r="G9" s="19" t="inlineStr">
        <is>
          <t>Cost / pricing</t>
        </is>
      </c>
      <c r="H9" s="29" t="inlineStr">
        <is>
          <t>No</t>
        </is>
      </c>
      <c r="I9" s="29" t="inlineStr">
        <is>
          <t>No</t>
        </is>
      </c>
      <c r="J9" s="29" t="inlineStr">
        <is>
          <t>No</t>
        </is>
      </c>
      <c r="K9" s="19" t="n">
        <v>0</v>
      </c>
      <c r="L9" s="19" t="inlineStr">
        <is>
          <t>cost</t>
        </is>
      </c>
      <c r="M9" s="19" t="inlineStr">
        <is>
          <t>C1</t>
        </is>
      </c>
      <c r="N9" s="19" t="inlineStr">
        <is>
          <t>Pricing section: price range or 'from $X', what changes the cost, payment options</t>
        </is>
      </c>
      <c r="O9" s="19" t="inlineStr">
        <is>
          <t>New 'Cost' section before the final call to action</t>
        </is>
      </c>
    </row>
    <row r="10">
      <c r="A10" s="19" t="inlineStr">
        <is>
          <t>https://www.harbourdental.example/services/invisalign/</t>
        </is>
      </c>
      <c r="B10" s="19" t="inlineStr">
        <is>
          <t>invisalign parramatta</t>
        </is>
      </c>
      <c r="C10" s="20" t="n">
        <v>1938</v>
      </c>
      <c r="D10" s="19" t="n">
        <v>47</v>
      </c>
      <c r="E10" s="19" t="n">
        <v>5.1</v>
      </c>
      <c r="F10" s="28" t="inlineStr">
        <is>
          <t>Scattered terms</t>
        </is>
      </c>
      <c r="G10" s="19" t="inlineStr">
        <is>
          <t>Topic / modifier</t>
        </is>
      </c>
      <c r="H10" s="29" t="inlineStr">
        <is>
          <t>No</t>
        </is>
      </c>
      <c r="I10" s="29" t="inlineStr">
        <is>
          <t>No</t>
        </is>
      </c>
      <c r="J10" s="29" t="inlineStr">
        <is>
          <t>No</t>
        </is>
      </c>
      <c r="K10" s="19" t="n">
        <v>0</v>
      </c>
      <c r="L10" s="19" t="inlineStr"/>
      <c r="M10" s="19" t="inlineStr">
        <is>
          <t>C2</t>
        </is>
      </c>
      <c r="N10" s="19" t="inlineStr">
        <is>
          <t>Sentence edit: add the exact phrase naturally to an existing paragraph</t>
        </is>
      </c>
      <c r="O10" s="19" t="inlineStr">
        <is>
          <t>An existing paragraph under 'What is Invisalign?'</t>
        </is>
      </c>
    </row>
    <row r="11">
      <c r="A11" s="19" t="inlineStr">
        <is>
          <t>https://www.harbourdental.example/services/invisalign/</t>
        </is>
      </c>
      <c r="B11" s="19" t="inlineStr">
        <is>
          <t>invisalign provider near me</t>
        </is>
      </c>
      <c r="C11" s="20" t="n">
        <v>915</v>
      </c>
      <c r="D11" s="19" t="n">
        <v>14</v>
      </c>
      <c r="E11" s="19" t="n">
        <v>6.5</v>
      </c>
      <c r="F11" s="31" t="inlineStr">
        <is>
          <t>Not in headings</t>
        </is>
      </c>
      <c r="G11" s="19" t="inlineStr">
        <is>
          <t>Local (near me)</t>
        </is>
      </c>
      <c r="H11" s="29" t="inlineStr">
        <is>
          <t>No</t>
        </is>
      </c>
      <c r="I11" s="29" t="inlineStr">
        <is>
          <t>No</t>
        </is>
      </c>
      <c r="J11" s="29" t="inlineStr">
        <is>
          <t>No</t>
        </is>
      </c>
      <c r="K11" s="19" t="n">
        <v>1</v>
      </c>
      <c r="L11" s="19" t="inlineStr"/>
      <c r="M11" s="19" t="inlineStr">
        <is>
          <t>C3</t>
        </is>
      </c>
      <c r="N11" s="19" t="inlineStr">
        <is>
          <t>Local signals: suburb/area names, address, map, LocalBusiness schema (never add 'near me' literally)</t>
        </is>
      </c>
      <c r="O11" s="19" t="inlineStr">
        <is>
          <t>Intro paragraph (first 100 words), plus the H1 or title if it is a top query</t>
        </is>
      </c>
    </row>
    <row r="12">
      <c r="A12" s="19" t="inlineStr">
        <is>
          <t>https://www.harbourdental.example/services/invisalign/</t>
        </is>
      </c>
      <c r="B12" s="19" t="inlineStr">
        <is>
          <t>how long does invisalign take</t>
        </is>
      </c>
      <c r="C12" s="20" t="n">
        <v>715</v>
      </c>
      <c r="D12" s="19" t="n">
        <v>4</v>
      </c>
      <c r="E12" s="19" t="n">
        <v>10.6</v>
      </c>
      <c r="F12" s="32" t="inlineStr">
        <is>
          <t>Missing</t>
        </is>
      </c>
      <c r="G12" s="19" t="inlineStr">
        <is>
          <t>Question</t>
        </is>
      </c>
      <c r="H12" s="29" t="inlineStr">
        <is>
          <t>No</t>
        </is>
      </c>
      <c r="I12" s="29" t="inlineStr">
        <is>
          <t>No</t>
        </is>
      </c>
      <c r="J12" s="29" t="inlineStr">
        <is>
          <t>No</t>
        </is>
      </c>
      <c r="K12" s="19" t="n">
        <v>0</v>
      </c>
      <c r="L12" s="19" t="inlineStr">
        <is>
          <t>long, take</t>
        </is>
      </c>
      <c r="M12" s="19" t="inlineStr">
        <is>
          <t>C4</t>
        </is>
      </c>
      <c r="N12" s="19" t="inlineStr">
        <is>
          <t>FAQ: the question as an H3 + a 40-60 word direct answer</t>
        </is>
      </c>
      <c r="O12" s="19" t="inlineStr">
        <is>
          <t>New FAQ section before the final call to action</t>
        </is>
      </c>
    </row>
    <row r="13">
      <c r="A13" s="19" t="inlineStr">
        <is>
          <t>https://www.harbourdental.example/services/invisalign/</t>
        </is>
      </c>
      <c r="B13" s="19" t="inlineStr">
        <is>
          <t>invisalign payment plans</t>
        </is>
      </c>
      <c r="C13" s="20" t="n">
        <v>560</v>
      </c>
      <c r="D13" s="19" t="n">
        <v>3</v>
      </c>
      <c r="E13" s="19" t="n">
        <v>10.2</v>
      </c>
      <c r="F13" s="30" t="inlineStr">
        <is>
          <t>Partial</t>
        </is>
      </c>
      <c r="G13" s="19" t="inlineStr">
        <is>
          <t>Cost / pricing</t>
        </is>
      </c>
      <c r="H13" s="29" t="inlineStr">
        <is>
          <t>No</t>
        </is>
      </c>
      <c r="I13" s="29" t="inlineStr">
        <is>
          <t>No</t>
        </is>
      </c>
      <c r="J13" s="29" t="inlineStr">
        <is>
          <t>No</t>
        </is>
      </c>
      <c r="K13" s="19" t="n">
        <v>0</v>
      </c>
      <c r="L13" s="19" t="inlineStr">
        <is>
          <t>payment</t>
        </is>
      </c>
      <c r="M13" s="19" t="inlineStr">
        <is>
          <t>C1</t>
        </is>
      </c>
      <c r="N13" s="19" t="inlineStr">
        <is>
          <t>Pricing section: price range or 'from $X', what changes the cost, payment options</t>
        </is>
      </c>
      <c r="O13" s="19" t="inlineStr">
        <is>
          <t>New 'Cost' section before the final call to action</t>
        </is>
      </c>
    </row>
    <row r="14">
      <c r="A14" s="19" t="inlineStr">
        <is>
          <t>https://www.harbourdental.example/blog/invisalign-vs-braces/</t>
        </is>
      </c>
      <c r="B14" s="19" t="inlineStr">
        <is>
          <t>invisalign vs braces cost</t>
        </is>
      </c>
      <c r="C14" s="20" t="n">
        <v>1109</v>
      </c>
      <c r="D14" s="19" t="n">
        <v>6</v>
      </c>
      <c r="E14" s="19" t="n">
        <v>10.7</v>
      </c>
      <c r="F14" s="30" t="inlineStr">
        <is>
          <t>Partial</t>
        </is>
      </c>
      <c r="G14" s="19" t="inlineStr">
        <is>
          <t>Comparison</t>
        </is>
      </c>
      <c r="H14" s="29" t="inlineStr">
        <is>
          <t>No</t>
        </is>
      </c>
      <c r="I14" s="29" t="inlineStr">
        <is>
          <t>No</t>
        </is>
      </c>
      <c r="J14" s="29" t="inlineStr">
        <is>
          <t>No</t>
        </is>
      </c>
      <c r="K14" s="19" t="n">
        <v>0</v>
      </c>
      <c r="L14" s="19" t="inlineStr">
        <is>
          <t>cost</t>
        </is>
      </c>
      <c r="M14" s="19" t="inlineStr">
        <is>
          <t>C1</t>
        </is>
      </c>
      <c r="N14" s="19" t="inlineStr">
        <is>
          <t>Comparison table + 2-3 sentence verdict</t>
        </is>
      </c>
      <c r="O14" s="19" t="inlineStr">
        <is>
          <t>Right after the intro (comparison table first)</t>
        </is>
      </c>
    </row>
    <row r="15">
      <c r="A15" s="19" t="inlineStr">
        <is>
          <t>https://www.harbourdental.example/blog/invisalign-vs-braces/</t>
        </is>
      </c>
      <c r="B15" s="19" t="inlineStr">
        <is>
          <t>braces or invisalign for adults</t>
        </is>
      </c>
      <c r="C15" s="20" t="n">
        <v>694</v>
      </c>
      <c r="D15" s="19" t="n">
        <v>3</v>
      </c>
      <c r="E15" s="19" t="n">
        <v>10.3</v>
      </c>
      <c r="F15" s="30" t="inlineStr">
        <is>
          <t>Partial</t>
        </is>
      </c>
      <c r="G15" s="19" t="inlineStr">
        <is>
          <t>Comparison</t>
        </is>
      </c>
      <c r="H15" s="29" t="inlineStr">
        <is>
          <t>No</t>
        </is>
      </c>
      <c r="I15" s="29" t="inlineStr">
        <is>
          <t>No</t>
        </is>
      </c>
      <c r="J15" s="29" t="inlineStr">
        <is>
          <t>No</t>
        </is>
      </c>
      <c r="K15" s="19" t="n">
        <v>0</v>
      </c>
      <c r="L15" s="19" t="inlineStr">
        <is>
          <t>adults</t>
        </is>
      </c>
      <c r="M15" s="19" t="inlineStr">
        <is>
          <t>C1</t>
        </is>
      </c>
      <c r="N15" s="19" t="inlineStr">
        <is>
          <t>Comparison table + 2-3 sentence verdict</t>
        </is>
      </c>
      <c r="O15" s="19" t="inlineStr">
        <is>
          <t>Right after the intro (comparison table first)</t>
        </is>
      </c>
    </row>
    <row r="16">
      <c r="A16" s="19" t="inlineStr">
        <is>
          <t>https://www.harbourdental.example/blog/invisalign-vs-braces/</t>
        </is>
      </c>
      <c r="B16" s="19" t="inlineStr">
        <is>
          <t>invisalign vs braces pros and cons</t>
        </is>
      </c>
      <c r="C16" s="20" t="n">
        <v>579</v>
      </c>
      <c r="D16" s="19" t="n">
        <v>3</v>
      </c>
      <c r="E16" s="19" t="n">
        <v>10.6</v>
      </c>
      <c r="F16" s="30" t="inlineStr">
        <is>
          <t>Partial</t>
        </is>
      </c>
      <c r="G16" s="19" t="inlineStr">
        <is>
          <t>Comparison</t>
        </is>
      </c>
      <c r="H16" s="29" t="inlineStr">
        <is>
          <t>No</t>
        </is>
      </c>
      <c r="I16" s="29" t="inlineStr">
        <is>
          <t>No</t>
        </is>
      </c>
      <c r="J16" s="29" t="inlineStr">
        <is>
          <t>No</t>
        </is>
      </c>
      <c r="K16" s="19" t="n">
        <v>0</v>
      </c>
      <c r="L16" s="19" t="inlineStr">
        <is>
          <t>pros, cons</t>
        </is>
      </c>
      <c r="M16" s="19" t="inlineStr">
        <is>
          <t>C1</t>
        </is>
      </c>
      <c r="N16" s="19" t="inlineStr">
        <is>
          <t>Comparison table + 2-3 sentence verdict</t>
        </is>
      </c>
      <c r="O16" s="19" t="inlineStr">
        <is>
          <t>Right after the intro (comparison table first)</t>
        </is>
      </c>
    </row>
    <row r="17">
      <c r="A17" s="19" t="inlineStr">
        <is>
          <t>https://www.harbourdental.example/blog/invisalign-vs-braces/</t>
        </is>
      </c>
      <c r="B17" s="19" t="inlineStr">
        <is>
          <t>which is faster invisalign or braces</t>
        </is>
      </c>
      <c r="C17" s="20" t="n">
        <v>393</v>
      </c>
      <c r="D17" s="19" t="n">
        <v>2</v>
      </c>
      <c r="E17" s="19" t="n">
        <v>11.5</v>
      </c>
      <c r="F17" s="30" t="inlineStr">
        <is>
          <t>Partial</t>
        </is>
      </c>
      <c r="G17" s="19" t="inlineStr">
        <is>
          <t>Comparison</t>
        </is>
      </c>
      <c r="H17" s="29" t="inlineStr">
        <is>
          <t>No</t>
        </is>
      </c>
      <c r="I17" s="29" t="inlineStr">
        <is>
          <t>No</t>
        </is>
      </c>
      <c r="J17" s="29" t="inlineStr">
        <is>
          <t>No</t>
        </is>
      </c>
      <c r="K17" s="19" t="n">
        <v>0</v>
      </c>
      <c r="L17" s="19" t="inlineStr">
        <is>
          <t>faster</t>
        </is>
      </c>
      <c r="M17" s="19" t="inlineStr">
        <is>
          <t>C1</t>
        </is>
      </c>
      <c r="N17" s="19" t="inlineStr">
        <is>
          <t>Comparison table + 2-3 sentence verdict</t>
        </is>
      </c>
      <c r="O17" s="19" t="inlineStr">
        <is>
          <t>Right after the intro (comparison table first)</t>
        </is>
      </c>
    </row>
    <row r="18">
      <c r="A18" s="19" t="inlineStr">
        <is>
          <t>https://www.harbourdental.example/blog/how-long-do-dental-implants-last/</t>
        </is>
      </c>
      <c r="B18" s="19" t="inlineStr">
        <is>
          <t>dental implant lifespan</t>
        </is>
      </c>
      <c r="C18" s="20" t="n">
        <v>991</v>
      </c>
      <c r="D18" s="19" t="n">
        <v>11</v>
      </c>
      <c r="E18" s="19" t="n">
        <v>8.9</v>
      </c>
      <c r="F18" s="30" t="inlineStr">
        <is>
          <t>Partial</t>
        </is>
      </c>
      <c r="G18" s="19" t="inlineStr">
        <is>
          <t>Topic / modifier</t>
        </is>
      </c>
      <c r="H18" s="29" t="inlineStr">
        <is>
          <t>No</t>
        </is>
      </c>
      <c r="I18" s="29" t="inlineStr">
        <is>
          <t>No</t>
        </is>
      </c>
      <c r="J18" s="29" t="inlineStr">
        <is>
          <t>No</t>
        </is>
      </c>
      <c r="K18" s="19" t="n">
        <v>0</v>
      </c>
      <c r="L18" s="19" t="inlineStr">
        <is>
          <t>lifespan</t>
        </is>
      </c>
      <c r="M18" s="19" t="inlineStr">
        <is>
          <t>C1</t>
        </is>
      </c>
      <c r="N18" s="19" t="inlineStr">
        <is>
          <t>New H2/H3 section (80-150 words)</t>
        </is>
      </c>
      <c r="O18" s="19" t="inlineStr">
        <is>
          <t>New H2 section before the final call to action</t>
        </is>
      </c>
    </row>
    <row r="19">
      <c r="A19" s="19" t="inlineStr">
        <is>
          <t>https://www.harbourdental.example/blog/how-long-do-dental-implants-last/</t>
        </is>
      </c>
      <c r="B19" s="19" t="inlineStr">
        <is>
          <t>do dental implants last forever</t>
        </is>
      </c>
      <c r="C19" s="20" t="n">
        <v>682</v>
      </c>
      <c r="D19" s="19" t="n">
        <v>9</v>
      </c>
      <c r="E19" s="19" t="n">
        <v>8.4</v>
      </c>
      <c r="F19" s="30" t="inlineStr">
        <is>
          <t>Partial</t>
        </is>
      </c>
      <c r="G19" s="19" t="inlineStr">
        <is>
          <t>Question</t>
        </is>
      </c>
      <c r="H19" s="29" t="inlineStr">
        <is>
          <t>No</t>
        </is>
      </c>
      <c r="I19" s="29" t="inlineStr">
        <is>
          <t>No</t>
        </is>
      </c>
      <c r="J19" s="29" t="inlineStr">
        <is>
          <t>No</t>
        </is>
      </c>
      <c r="K19" s="19" t="n">
        <v>0</v>
      </c>
      <c r="L19" s="19" t="inlineStr">
        <is>
          <t>forever</t>
        </is>
      </c>
      <c r="M19" s="19" t="inlineStr">
        <is>
          <t>C2</t>
        </is>
      </c>
      <c r="N19" s="19" t="inlineStr">
        <is>
          <t>FAQ: the question as an H3 + a 40-60 word direct answer</t>
        </is>
      </c>
      <c r="O19" s="19" t="inlineStr">
        <is>
          <t>New FAQ section before the final call to action</t>
        </is>
      </c>
    </row>
    <row r="20">
      <c r="A20" s="19" t="inlineStr">
        <is>
          <t>https://www.harbourdental.example/blog/how-long-do-dental-implants-last/</t>
        </is>
      </c>
      <c r="B20" s="19" t="inlineStr">
        <is>
          <t>dental implant failure signs</t>
        </is>
      </c>
      <c r="C20" s="20" t="n">
        <v>501</v>
      </c>
      <c r="D20" s="19" t="n">
        <v>3</v>
      </c>
      <c r="E20" s="19" t="n">
        <v>14.9</v>
      </c>
      <c r="F20" s="30" t="inlineStr">
        <is>
          <t>Partial</t>
        </is>
      </c>
      <c r="G20" s="19" t="inlineStr">
        <is>
          <t>Topic / modifier</t>
        </is>
      </c>
      <c r="H20" s="29" t="inlineStr">
        <is>
          <t>No</t>
        </is>
      </c>
      <c r="I20" s="29" t="inlineStr">
        <is>
          <t>No</t>
        </is>
      </c>
      <c r="J20" s="29" t="inlineStr">
        <is>
          <t>No</t>
        </is>
      </c>
      <c r="K20" s="19" t="n">
        <v>0</v>
      </c>
      <c r="L20" s="19" t="inlineStr">
        <is>
          <t>failure, signs</t>
        </is>
      </c>
      <c r="M20" s="19" t="inlineStr">
        <is>
          <t>C3</t>
        </is>
      </c>
      <c r="N20" s="19" t="inlineStr">
        <is>
          <t>New H2/H3 section (80-150 words)</t>
        </is>
      </c>
      <c r="O20" s="19" t="inlineStr">
        <is>
          <t>New H2 section before the final call to action</t>
        </is>
      </c>
    </row>
    <row r="21">
      <c r="A21" s="19" t="inlineStr">
        <is>
          <t>https://www.harbourdental.example/blog/how-long-do-dental-implants-last/</t>
        </is>
      </c>
      <c r="B21" s="19" t="inlineStr">
        <is>
          <t>implant vs bridge longevity</t>
        </is>
      </c>
      <c r="C21" s="20" t="n">
        <v>280</v>
      </c>
      <c r="D21" s="19" t="n">
        <v>1</v>
      </c>
      <c r="E21" s="19" t="n">
        <v>14.9</v>
      </c>
      <c r="F21" s="32" t="inlineStr">
        <is>
          <t>Missing</t>
        </is>
      </c>
      <c r="G21" s="19" t="inlineStr">
        <is>
          <t>Comparison</t>
        </is>
      </c>
      <c r="H21" s="29" t="inlineStr">
        <is>
          <t>No</t>
        </is>
      </c>
      <c r="I21" s="29" t="inlineStr">
        <is>
          <t>No</t>
        </is>
      </c>
      <c r="J21" s="29" t="inlineStr">
        <is>
          <t>No</t>
        </is>
      </c>
      <c r="K21" s="19" t="n">
        <v>0</v>
      </c>
      <c r="L21" s="19" t="inlineStr">
        <is>
          <t>bridge, longevity</t>
        </is>
      </c>
      <c r="M21" s="19" t="inlineStr">
        <is>
          <t>C4</t>
        </is>
      </c>
      <c r="N21" s="19" t="inlineStr">
        <is>
          <t>Comparison table + 2-3 sentence verdict</t>
        </is>
      </c>
      <c r="O21" s="19" t="inlineStr">
        <is>
          <t>New comparison section before the final call to action</t>
        </is>
      </c>
    </row>
    <row r="22">
      <c r="A22" s="19" t="inlineStr">
        <is>
          <t>https://www.harbourdental.example/services/dental-implants/</t>
        </is>
      </c>
      <c r="B22" s="19" t="inlineStr">
        <is>
          <t>dental implants cost</t>
        </is>
      </c>
      <c r="C22" s="20" t="n">
        <v>4035</v>
      </c>
      <c r="D22" s="19" t="n">
        <v>35</v>
      </c>
      <c r="E22" s="19" t="n">
        <v>18.1</v>
      </c>
      <c r="F22" s="30" t="inlineStr">
        <is>
          <t>Partial</t>
        </is>
      </c>
      <c r="G22" s="19" t="inlineStr">
        <is>
          <t>Cost / pricing</t>
        </is>
      </c>
      <c r="H22" s="29" t="inlineStr">
        <is>
          <t>No</t>
        </is>
      </c>
      <c r="I22" s="29" t="inlineStr">
        <is>
          <t>No</t>
        </is>
      </c>
      <c r="J22" s="29" t="inlineStr">
        <is>
          <t>No</t>
        </is>
      </c>
      <c r="K22" s="19" t="n">
        <v>0</v>
      </c>
      <c r="L22" s="19" t="inlineStr">
        <is>
          <t>cost</t>
        </is>
      </c>
      <c r="M22" s="19" t="inlineStr">
        <is>
          <t>C1</t>
        </is>
      </c>
      <c r="N22" s="19" t="inlineStr">
        <is>
          <t>Pricing section: price range or 'from $X', what changes the cost, payment options</t>
        </is>
      </c>
      <c r="O22" s="19" t="inlineStr">
        <is>
          <t>New 'Cost' section before the final call to action</t>
        </is>
      </c>
    </row>
    <row r="23">
      <c r="A23" s="19" t="inlineStr">
        <is>
          <t>https://www.harbourdental.example/services/dental-implants/</t>
        </is>
      </c>
      <c r="B23" s="19" t="inlineStr">
        <is>
          <t>all on 4 dental implants</t>
        </is>
      </c>
      <c r="C23" s="20" t="n">
        <v>1517</v>
      </c>
      <c r="D23" s="19" t="n">
        <v>11</v>
      </c>
      <c r="E23" s="19" t="n">
        <v>19.5</v>
      </c>
      <c r="F23" s="30" t="inlineStr">
        <is>
          <t>Partial</t>
        </is>
      </c>
      <c r="G23" s="19" t="inlineStr">
        <is>
          <t>Topic / modifier</t>
        </is>
      </c>
      <c r="H23" s="29" t="inlineStr">
        <is>
          <t>No</t>
        </is>
      </c>
      <c r="I23" s="29" t="inlineStr">
        <is>
          <t>No</t>
        </is>
      </c>
      <c r="J23" s="29" t="inlineStr">
        <is>
          <t>No</t>
        </is>
      </c>
      <c r="K23" s="19" t="n">
        <v>0</v>
      </c>
      <c r="L23" s="19" t="inlineStr">
        <is>
          <t>all, 4</t>
        </is>
      </c>
      <c r="M23" s="19" t="inlineStr">
        <is>
          <t>C2</t>
        </is>
      </c>
      <c r="N23" s="19" t="inlineStr">
        <is>
          <t>New H2/H3 section (80-150 words)</t>
        </is>
      </c>
      <c r="O23" s="19" t="inlineStr">
        <is>
          <t>New H2 section before the final call to action</t>
        </is>
      </c>
    </row>
    <row r="24">
      <c r="A24" s="19" t="inlineStr">
        <is>
          <t>https://www.harbourdental.example/services/dental-implants/</t>
        </is>
      </c>
      <c r="B24" s="19" t="inlineStr">
        <is>
          <t>single tooth implant</t>
        </is>
      </c>
      <c r="C24" s="20" t="n">
        <v>947</v>
      </c>
      <c r="D24" s="19" t="n">
        <v>10</v>
      </c>
      <c r="E24" s="19" t="n">
        <v>15.2</v>
      </c>
      <c r="F24" s="30" t="inlineStr">
        <is>
          <t>Partial</t>
        </is>
      </c>
      <c r="G24" s="19" t="inlineStr">
        <is>
          <t>Topic / modifier</t>
        </is>
      </c>
      <c r="H24" s="29" t="inlineStr">
        <is>
          <t>No</t>
        </is>
      </c>
      <c r="I24" s="29" t="inlineStr">
        <is>
          <t>No</t>
        </is>
      </c>
      <c r="J24" s="29" t="inlineStr">
        <is>
          <t>No</t>
        </is>
      </c>
      <c r="K24" s="19" t="n">
        <v>0</v>
      </c>
      <c r="L24" s="19" t="inlineStr">
        <is>
          <t>single</t>
        </is>
      </c>
      <c r="M24" s="19" t="inlineStr">
        <is>
          <t>C3</t>
        </is>
      </c>
      <c r="N24" s="19" t="inlineStr">
        <is>
          <t>New H2/H3 section (80-150 words)</t>
        </is>
      </c>
      <c r="O24" s="19" t="inlineStr">
        <is>
          <t>New H2 section before the final call to action</t>
        </is>
      </c>
    </row>
    <row r="25">
      <c r="A25" s="19" t="inlineStr">
        <is>
          <t>https://www.harbourdental.example/services/dental-implants/</t>
        </is>
      </c>
      <c r="B25" s="19" t="inlineStr">
        <is>
          <t>are dental implants painful</t>
        </is>
      </c>
      <c r="C25" s="20" t="n">
        <v>540</v>
      </c>
      <c r="D25" s="19" t="n">
        <v>5</v>
      </c>
      <c r="E25" s="19" t="n">
        <v>14.6</v>
      </c>
      <c r="F25" s="30" t="inlineStr">
        <is>
          <t>Partial</t>
        </is>
      </c>
      <c r="G25" s="19" t="inlineStr">
        <is>
          <t>Question</t>
        </is>
      </c>
      <c r="H25" s="29" t="inlineStr">
        <is>
          <t>No</t>
        </is>
      </c>
      <c r="I25" s="29" t="inlineStr">
        <is>
          <t>No</t>
        </is>
      </c>
      <c r="J25" s="29" t="inlineStr">
        <is>
          <t>No</t>
        </is>
      </c>
      <c r="K25" s="19" t="n">
        <v>0</v>
      </c>
      <c r="L25" s="19" t="inlineStr">
        <is>
          <t>painful</t>
        </is>
      </c>
      <c r="M25" s="19" t="inlineStr">
        <is>
          <t>C4</t>
        </is>
      </c>
      <c r="N25" s="19" t="inlineStr">
        <is>
          <t>FAQ: the question as an H3 + a 40-60 word direct answer</t>
        </is>
      </c>
      <c r="O25" s="19" t="inlineStr">
        <is>
          <t>New FAQ section before the final call to action</t>
        </is>
      </c>
    </row>
    <row r="26">
      <c r="A26" s="19" t="inlineStr">
        <is>
          <t>https://www.harbourdental.example/services/dental-implants/</t>
        </is>
      </c>
      <c r="B26" s="19" t="inlineStr">
        <is>
          <t>dental implants payment plan</t>
        </is>
      </c>
      <c r="C26" s="20" t="n">
        <v>367</v>
      </c>
      <c r="D26" s="19" t="n">
        <v>3</v>
      </c>
      <c r="E26" s="19" t="n">
        <v>16.1</v>
      </c>
      <c r="F26" s="30" t="inlineStr">
        <is>
          <t>Partial</t>
        </is>
      </c>
      <c r="G26" s="19" t="inlineStr">
        <is>
          <t>Cost / pricing</t>
        </is>
      </c>
      <c r="H26" s="29" t="inlineStr">
        <is>
          <t>No</t>
        </is>
      </c>
      <c r="I26" s="29" t="inlineStr">
        <is>
          <t>No</t>
        </is>
      </c>
      <c r="J26" s="29" t="inlineStr">
        <is>
          <t>No</t>
        </is>
      </c>
      <c r="K26" s="19" t="n">
        <v>0</v>
      </c>
      <c r="L26" s="19" t="inlineStr">
        <is>
          <t>payment, plan</t>
        </is>
      </c>
      <c r="M26" s="19" t="inlineStr">
        <is>
          <t>C1</t>
        </is>
      </c>
      <c r="N26" s="19" t="inlineStr">
        <is>
          <t>Pricing section: price range or 'from $X', what changes the cost, payment options</t>
        </is>
      </c>
      <c r="O26" s="19" t="inlineStr">
        <is>
          <t>New 'Cost' section before the final call to action</t>
        </is>
      </c>
    </row>
    <row r="27">
      <c r="A27" s="19" t="inlineStr">
        <is>
          <t>https://www.harbourdental.example/services/root-canal/</t>
        </is>
      </c>
      <c r="B27" s="19" t="inlineStr">
        <is>
          <t>root canal cost</t>
        </is>
      </c>
      <c r="C27" s="20" t="n">
        <v>2228</v>
      </c>
      <c r="D27" s="19" t="n">
        <v>9</v>
      </c>
      <c r="E27" s="19" t="n">
        <v>24.6</v>
      </c>
      <c r="F27" s="30" t="inlineStr">
        <is>
          <t>Partial</t>
        </is>
      </c>
      <c r="G27" s="19" t="inlineStr">
        <is>
          <t>Cost / pricing</t>
        </is>
      </c>
      <c r="H27" s="29" t="inlineStr">
        <is>
          <t>No</t>
        </is>
      </c>
      <c r="I27" s="29" t="inlineStr">
        <is>
          <t>No</t>
        </is>
      </c>
      <c r="J27" s="29" t="inlineStr">
        <is>
          <t>No</t>
        </is>
      </c>
      <c r="K27" s="19" t="n">
        <v>0</v>
      </c>
      <c r="L27" s="19" t="inlineStr">
        <is>
          <t>cost</t>
        </is>
      </c>
      <c r="M27" s="19" t="inlineStr">
        <is>
          <t>C1</t>
        </is>
      </c>
      <c r="N27" s="19" t="inlineStr">
        <is>
          <t>Pricing section: price range or 'from $X', what changes the cost, payment options</t>
        </is>
      </c>
      <c r="O27" s="19" t="inlineStr">
        <is>
          <t>New 'Cost' section before the final call to action</t>
        </is>
      </c>
    </row>
    <row r="28">
      <c r="A28" s="19" t="inlineStr">
        <is>
          <t>https://www.harbourdental.example/services/root-canal/</t>
        </is>
      </c>
      <c r="B28" s="19" t="inlineStr">
        <is>
          <t>does a root canal hurt</t>
        </is>
      </c>
      <c r="C28" s="20" t="n">
        <v>1138</v>
      </c>
      <c r="D28" s="19" t="n">
        <v>6</v>
      </c>
      <c r="E28" s="19" t="n">
        <v>23.7</v>
      </c>
      <c r="F28" s="30" t="inlineStr">
        <is>
          <t>Partial</t>
        </is>
      </c>
      <c r="G28" s="19" t="inlineStr">
        <is>
          <t>Question</t>
        </is>
      </c>
      <c r="H28" s="29" t="inlineStr">
        <is>
          <t>No</t>
        </is>
      </c>
      <c r="I28" s="29" t="inlineStr">
        <is>
          <t>No</t>
        </is>
      </c>
      <c r="J28" s="29" t="inlineStr">
        <is>
          <t>No</t>
        </is>
      </c>
      <c r="K28" s="19" t="n">
        <v>0</v>
      </c>
      <c r="L28" s="19" t="inlineStr">
        <is>
          <t>hurt</t>
        </is>
      </c>
      <c r="M28" s="19" t="inlineStr">
        <is>
          <t>C2</t>
        </is>
      </c>
      <c r="N28" s="19" t="inlineStr">
        <is>
          <t>FAQ: the question as an H3 + a 40-60 word direct answer</t>
        </is>
      </c>
      <c r="O28" s="19" t="inlineStr">
        <is>
          <t>New FAQ section before the final call to action</t>
        </is>
      </c>
    </row>
    <row r="29">
      <c r="A29" s="19" t="inlineStr">
        <is>
          <t>https://www.harbourdental.example/services/root-canal/</t>
        </is>
      </c>
      <c r="B29" s="19" t="inlineStr">
        <is>
          <t>root canal parramatta</t>
        </is>
      </c>
      <c r="C29" s="20" t="n">
        <v>1029</v>
      </c>
      <c r="D29" s="19" t="n">
        <v>7</v>
      </c>
      <c r="E29" s="19" t="n">
        <v>20</v>
      </c>
      <c r="F29" s="30" t="inlineStr">
        <is>
          <t>Partial</t>
        </is>
      </c>
      <c r="G29" s="19" t="inlineStr">
        <is>
          <t>Topic / modifier</t>
        </is>
      </c>
      <c r="H29" s="29" t="inlineStr">
        <is>
          <t>No</t>
        </is>
      </c>
      <c r="I29" s="29" t="inlineStr">
        <is>
          <t>No</t>
        </is>
      </c>
      <c r="J29" s="29" t="inlineStr">
        <is>
          <t>No</t>
        </is>
      </c>
      <c r="K29" s="19" t="n">
        <v>0</v>
      </c>
      <c r="L29" s="19" t="inlineStr">
        <is>
          <t>parramatta</t>
        </is>
      </c>
      <c r="M29" s="19" t="inlineStr">
        <is>
          <t>C3</t>
        </is>
      </c>
      <c r="N29" s="19" t="inlineStr">
        <is>
          <t>Location sentence: use the phrase once in the intro and once in a heading or the title</t>
        </is>
      </c>
      <c r="O29" s="19" t="inlineStr">
        <is>
          <t>Intro paragraph (first 100 words), plus the H1 or title if it is a top query</t>
        </is>
      </c>
    </row>
    <row r="30">
      <c r="A30" s="19" t="inlineStr">
        <is>
          <t>https://www.harbourdental.example/services/root-canal/</t>
        </is>
      </c>
      <c r="B30" s="19" t="inlineStr">
        <is>
          <t>root canal recovery time</t>
        </is>
      </c>
      <c r="C30" s="20" t="n">
        <v>801</v>
      </c>
      <c r="D30" s="19" t="n">
        <v>4</v>
      </c>
      <c r="E30" s="19" t="n">
        <v>25.8</v>
      </c>
      <c r="F30" s="30" t="inlineStr">
        <is>
          <t>Partial</t>
        </is>
      </c>
      <c r="G30" s="19" t="inlineStr">
        <is>
          <t>Topic / modifier</t>
        </is>
      </c>
      <c r="H30" s="29" t="inlineStr">
        <is>
          <t>No</t>
        </is>
      </c>
      <c r="I30" s="29" t="inlineStr">
        <is>
          <t>No</t>
        </is>
      </c>
      <c r="J30" s="29" t="inlineStr">
        <is>
          <t>No</t>
        </is>
      </c>
      <c r="K30" s="19" t="n">
        <v>0</v>
      </c>
      <c r="L30" s="19" t="inlineStr">
        <is>
          <t>recovery, time</t>
        </is>
      </c>
      <c r="M30" s="19" t="inlineStr">
        <is>
          <t>C4</t>
        </is>
      </c>
      <c r="N30" s="19" t="inlineStr">
        <is>
          <t>New H2/H3 section (80-150 words)</t>
        </is>
      </c>
      <c r="O30" s="19" t="inlineStr">
        <is>
          <t>New H2 section before the final call to action</t>
        </is>
      </c>
    </row>
    <row r="31">
      <c r="A31" s="19" t="inlineStr">
        <is>
          <t>https://www.harbourdental.example/blog/teeth-whitening-cost/</t>
        </is>
      </c>
      <c r="B31" s="19" t="inlineStr">
        <is>
          <t>how much is teeth whitening</t>
        </is>
      </c>
      <c r="C31" s="20" t="n">
        <v>1275</v>
      </c>
      <c r="D31" s="19" t="n">
        <v>10</v>
      </c>
      <c r="E31" s="19" t="n">
        <v>16.8</v>
      </c>
      <c r="F31" s="30" t="inlineStr">
        <is>
          <t>Partial</t>
        </is>
      </c>
      <c r="G31" s="19" t="inlineStr">
        <is>
          <t>Cost / pricing</t>
        </is>
      </c>
      <c r="H31" s="29" t="inlineStr">
        <is>
          <t>No</t>
        </is>
      </c>
      <c r="I31" s="29" t="inlineStr">
        <is>
          <t>No</t>
        </is>
      </c>
      <c r="J31" s="29" t="inlineStr">
        <is>
          <t>No</t>
        </is>
      </c>
      <c r="K31" s="19" t="n">
        <v>0</v>
      </c>
      <c r="L31" s="19" t="inlineStr">
        <is>
          <t>much</t>
        </is>
      </c>
      <c r="M31" s="19" t="inlineStr">
        <is>
          <t>C1</t>
        </is>
      </c>
      <c r="N31" s="19" t="inlineStr">
        <is>
          <t>Pricing section: price range or 'from $X', what changes the cost, payment options</t>
        </is>
      </c>
      <c r="O31" s="19" t="inlineStr">
        <is>
          <t>Right after the intro - searchers on this page want the price first</t>
        </is>
      </c>
    </row>
    <row r="32">
      <c r="A32" s="19" t="inlineStr">
        <is>
          <t>https://www.harbourdental.example/blog/teeth-whitening-cost/</t>
        </is>
      </c>
      <c r="B32" s="19" t="inlineStr">
        <is>
          <t>teeth whitening cost australia</t>
        </is>
      </c>
      <c r="C32" s="20" t="n">
        <v>1054</v>
      </c>
      <c r="D32" s="19" t="n">
        <v>9</v>
      </c>
      <c r="E32" s="19" t="n">
        <v>18</v>
      </c>
      <c r="F32" s="30" t="inlineStr">
        <is>
          <t>Partial</t>
        </is>
      </c>
      <c r="G32" s="19" t="inlineStr">
        <is>
          <t>Cost / pricing</t>
        </is>
      </c>
      <c r="H32" s="29" t="inlineStr">
        <is>
          <t>No</t>
        </is>
      </c>
      <c r="I32" s="29" t="inlineStr">
        <is>
          <t>No</t>
        </is>
      </c>
      <c r="J32" s="29" t="inlineStr">
        <is>
          <t>No</t>
        </is>
      </c>
      <c r="K32" s="19" t="n">
        <v>0</v>
      </c>
      <c r="L32" s="19" t="inlineStr">
        <is>
          <t>australia</t>
        </is>
      </c>
      <c r="M32" s="19" t="inlineStr">
        <is>
          <t>C1</t>
        </is>
      </c>
      <c r="N32" s="19" t="inlineStr">
        <is>
          <t>Pricing section: price range or 'from $X', what changes the cost, payment options</t>
        </is>
      </c>
      <c r="O32" s="19" t="inlineStr">
        <is>
          <t>Right after the intro - searchers on this page want the price first</t>
        </is>
      </c>
    </row>
    <row r="33">
      <c r="A33" s="19" t="inlineStr">
        <is>
          <t>https://www.harbourdental.example/blog/teeth-whitening-cost/</t>
        </is>
      </c>
      <c r="B33" s="19" t="inlineStr">
        <is>
          <t>zoom whitening price</t>
        </is>
      </c>
      <c r="C33" s="20" t="n">
        <v>620</v>
      </c>
      <c r="D33" s="19" t="n">
        <v>4</v>
      </c>
      <c r="E33" s="19" t="n">
        <v>19.3</v>
      </c>
      <c r="F33" s="30" t="inlineStr">
        <is>
          <t>Partial</t>
        </is>
      </c>
      <c r="G33" s="19" t="inlineStr">
        <is>
          <t>Cost / pricing</t>
        </is>
      </c>
      <c r="H33" s="29" t="inlineStr">
        <is>
          <t>No</t>
        </is>
      </c>
      <c r="I33" s="29" t="inlineStr">
        <is>
          <t>No</t>
        </is>
      </c>
      <c r="J33" s="29" t="inlineStr">
        <is>
          <t>No</t>
        </is>
      </c>
      <c r="K33" s="19" t="n">
        <v>0</v>
      </c>
      <c r="L33" s="19" t="inlineStr">
        <is>
          <t>zoom</t>
        </is>
      </c>
      <c r="M33" s="19" t="inlineStr">
        <is>
          <t>C1</t>
        </is>
      </c>
      <c r="N33" s="19" t="inlineStr">
        <is>
          <t>Pricing section: price range or 'from $X', what changes the cost, payment options</t>
        </is>
      </c>
      <c r="O33" s="19" t="inlineStr">
        <is>
          <t>Right after the intro - searchers on this page want the price first</t>
        </is>
      </c>
    </row>
    <row r="34">
      <c r="A34" s="19" t="inlineStr">
        <is>
          <t>https://www.harbourdental.example/blog/teeth-whitening-cost/</t>
        </is>
      </c>
      <c r="B34" s="19" t="inlineStr">
        <is>
          <t>take home whitening kit cost</t>
        </is>
      </c>
      <c r="C34" s="20" t="n">
        <v>400</v>
      </c>
      <c r="D34" s="19" t="n">
        <v>2</v>
      </c>
      <c r="E34" s="19" t="n">
        <v>20.1</v>
      </c>
      <c r="F34" s="28" t="inlineStr">
        <is>
          <t>Scattered terms</t>
        </is>
      </c>
      <c r="G34" s="19" t="inlineStr">
        <is>
          <t>Cost / pricing</t>
        </is>
      </c>
      <c r="H34" s="29" t="inlineStr">
        <is>
          <t>No</t>
        </is>
      </c>
      <c r="I34" s="29" t="inlineStr">
        <is>
          <t>No</t>
        </is>
      </c>
      <c r="J34" s="29" t="inlineStr">
        <is>
          <t>No</t>
        </is>
      </c>
      <c r="K34" s="19" t="n">
        <v>0</v>
      </c>
      <c r="L34" s="19" t="inlineStr"/>
      <c r="M34" s="19" t="inlineStr">
        <is>
          <t>C1</t>
        </is>
      </c>
      <c r="N34" s="19" t="inlineStr">
        <is>
          <t>Pricing section: price range or 'from $X', what changes the cost, payment options</t>
        </is>
      </c>
      <c r="O34" s="19" t="inlineStr">
        <is>
          <t>Right after the intro - searchers on this page want the price first</t>
        </is>
      </c>
    </row>
    <row r="35">
      <c r="A35" s="19" t="inlineStr">
        <is>
          <t>https://www.harbourdental.example/services/childrens-dentistry/</t>
        </is>
      </c>
      <c r="B35" s="19" t="inlineStr">
        <is>
          <t>kids dentist near me</t>
        </is>
      </c>
      <c r="C35" s="20" t="n">
        <v>1839</v>
      </c>
      <c r="D35" s="19" t="n">
        <v>19</v>
      </c>
      <c r="E35" s="19" t="n">
        <v>13</v>
      </c>
      <c r="F35" s="28" t="inlineStr">
        <is>
          <t>Scattered terms</t>
        </is>
      </c>
      <c r="G35" s="19" t="inlineStr">
        <is>
          <t>Local (near me)</t>
        </is>
      </c>
      <c r="H35" s="29" t="inlineStr">
        <is>
          <t>No</t>
        </is>
      </c>
      <c r="I35" s="29" t="inlineStr">
        <is>
          <t>No</t>
        </is>
      </c>
      <c r="J35" s="29" t="inlineStr">
        <is>
          <t>No</t>
        </is>
      </c>
      <c r="K35" s="19" t="n">
        <v>0</v>
      </c>
      <c r="L35" s="19" t="inlineStr"/>
      <c r="M35" s="19" t="inlineStr">
        <is>
          <t>C1</t>
        </is>
      </c>
      <c r="N35" s="19" t="inlineStr">
        <is>
          <t>Local signals: suburb/area names, address, map, LocalBusiness schema (never add 'near me' literally)</t>
        </is>
      </c>
      <c r="O35" s="19" t="inlineStr">
        <is>
          <t>Intro paragraph (first 100 words), plus the H1 or title if it is a top query</t>
        </is>
      </c>
    </row>
    <row r="36">
      <c r="A36" s="19" t="inlineStr">
        <is>
          <t>https://www.harbourdental.example/services/childrens-dentistry/</t>
        </is>
      </c>
      <c r="B36" s="19" t="inlineStr">
        <is>
          <t>child dental benefits schedule</t>
        </is>
      </c>
      <c r="C36" s="20" t="n">
        <v>1580</v>
      </c>
      <c r="D36" s="19" t="n">
        <v>13</v>
      </c>
      <c r="E36" s="19" t="n">
        <v>15.4</v>
      </c>
      <c r="F36" s="30" t="inlineStr">
        <is>
          <t>Partial</t>
        </is>
      </c>
      <c r="G36" s="19" t="inlineStr">
        <is>
          <t>Topic / modifier</t>
        </is>
      </c>
      <c r="H36" s="29" t="inlineStr">
        <is>
          <t>No</t>
        </is>
      </c>
      <c r="I36" s="29" t="inlineStr">
        <is>
          <t>No</t>
        </is>
      </c>
      <c r="J36" s="29" t="inlineStr">
        <is>
          <t>No</t>
        </is>
      </c>
      <c r="K36" s="19" t="n">
        <v>0</v>
      </c>
      <c r="L36" s="19" t="inlineStr">
        <is>
          <t>benefits, schedule</t>
        </is>
      </c>
      <c r="M36" s="19" t="inlineStr">
        <is>
          <t>C2</t>
        </is>
      </c>
      <c r="N36" s="19" t="inlineStr">
        <is>
          <t>New H2/H3 section (80-150 words)</t>
        </is>
      </c>
      <c r="O36" s="19" t="inlineStr">
        <is>
          <t>New H2 section before the final call to action</t>
        </is>
      </c>
    </row>
    <row r="37">
      <c r="A37" s="19" t="inlineStr">
        <is>
          <t>https://www.harbourdental.example/services/childrens-dentistry/</t>
        </is>
      </c>
      <c r="B37" s="19" t="inlineStr">
        <is>
          <t>childrens dentist parramatta</t>
        </is>
      </c>
      <c r="C37" s="20" t="n">
        <v>1492</v>
      </c>
      <c r="D37" s="19" t="n">
        <v>18</v>
      </c>
      <c r="E37" s="19" t="n">
        <v>11</v>
      </c>
      <c r="F37" s="28" t="inlineStr">
        <is>
          <t>Scattered terms</t>
        </is>
      </c>
      <c r="G37" s="19" t="inlineStr">
        <is>
          <t>Topic / modifier</t>
        </is>
      </c>
      <c r="H37" s="29" t="inlineStr">
        <is>
          <t>No</t>
        </is>
      </c>
      <c r="I37" s="29" t="inlineStr">
        <is>
          <t>No</t>
        </is>
      </c>
      <c r="J37" s="29" t="inlineStr">
        <is>
          <t>No</t>
        </is>
      </c>
      <c r="K37" s="19" t="n">
        <v>0</v>
      </c>
      <c r="L37" s="19" t="inlineStr"/>
      <c r="M37" s="19" t="inlineStr">
        <is>
          <t>C3</t>
        </is>
      </c>
      <c r="N37" s="19" t="inlineStr">
        <is>
          <t>Location sentence: use the phrase once in the intro and once in a heading or the title</t>
        </is>
      </c>
      <c r="O37" s="19" t="inlineStr">
        <is>
          <t>Intro paragraph (first 100 words), plus the H1 or title if it is a top query</t>
        </is>
      </c>
    </row>
    <row r="38">
      <c r="A38" s="19" t="inlineStr">
        <is>
          <t>https://www.harbourdental.example/services/childrens-dentistry/</t>
        </is>
      </c>
      <c r="B38" s="19" t="inlineStr">
        <is>
          <t>bulk billing kids dentist</t>
        </is>
      </c>
      <c r="C38" s="20" t="n">
        <v>804</v>
      </c>
      <c r="D38" s="19" t="n">
        <v>7</v>
      </c>
      <c r="E38" s="19" t="n">
        <v>14.4</v>
      </c>
      <c r="F38" s="30" t="inlineStr">
        <is>
          <t>Partial</t>
        </is>
      </c>
      <c r="G38" s="19" t="inlineStr">
        <is>
          <t>Cost / pricing</t>
        </is>
      </c>
      <c r="H38" s="29" t="inlineStr">
        <is>
          <t>No</t>
        </is>
      </c>
      <c r="I38" s="29" t="inlineStr">
        <is>
          <t>No</t>
        </is>
      </c>
      <c r="J38" s="29" t="inlineStr">
        <is>
          <t>No</t>
        </is>
      </c>
      <c r="K38" s="19" t="n">
        <v>0</v>
      </c>
      <c r="L38" s="19" t="inlineStr">
        <is>
          <t>bulk, billing</t>
        </is>
      </c>
      <c r="M38" s="19" t="inlineStr">
        <is>
          <t>C4</t>
        </is>
      </c>
      <c r="N38" s="19" t="inlineStr">
        <is>
          <t>Pricing section: price range or 'from $X', what changes the cost, payment options</t>
        </is>
      </c>
      <c r="O38" s="19" t="inlineStr">
        <is>
          <t>New 'Cost' section before the final call to action</t>
        </is>
      </c>
    </row>
    <row r="39">
      <c r="A39" s="19" t="inlineStr">
        <is>
          <t>https://www.harbourdental.example/services/childrens-dentistry/</t>
        </is>
      </c>
      <c r="B39" s="19" t="inlineStr">
        <is>
          <t>first dental visit age</t>
        </is>
      </c>
      <c r="C39" s="20" t="n">
        <v>548</v>
      </c>
      <c r="D39" s="19" t="n">
        <v>5</v>
      </c>
      <c r="E39" s="19" t="n">
        <v>16.9</v>
      </c>
      <c r="F39" s="30" t="inlineStr">
        <is>
          <t>Partial</t>
        </is>
      </c>
      <c r="G39" s="19" t="inlineStr">
        <is>
          <t>Topic / modifier</t>
        </is>
      </c>
      <c r="H39" s="29" t="inlineStr">
        <is>
          <t>No</t>
        </is>
      </c>
      <c r="I39" s="29" t="inlineStr">
        <is>
          <t>No</t>
        </is>
      </c>
      <c r="J39" s="29" t="inlineStr">
        <is>
          <t>No</t>
        </is>
      </c>
      <c r="K39" s="19" t="n">
        <v>0</v>
      </c>
      <c r="L39" s="19" t="inlineStr">
        <is>
          <t>first, visit</t>
        </is>
      </c>
      <c r="M39" s="19" t="inlineStr">
        <is>
          <t>C5</t>
        </is>
      </c>
      <c r="N39" s="19" t="inlineStr">
        <is>
          <t>New H2/H3 section (80-150 words)</t>
        </is>
      </c>
      <c r="O39" s="19" t="inlineStr">
        <is>
          <t>New H2 section before the final call to action</t>
        </is>
      </c>
    </row>
    <row r="40">
      <c r="A40" s="19" t="inlineStr">
        <is>
          <t>https://www.harbourdental.example/services/dental-crowns/</t>
        </is>
      </c>
      <c r="B40" s="19" t="inlineStr">
        <is>
          <t>dental crown cost</t>
        </is>
      </c>
      <c r="C40" s="20" t="n">
        <v>1817</v>
      </c>
      <c r="D40" s="19" t="n">
        <v>6</v>
      </c>
      <c r="E40" s="19" t="n">
        <v>26.4</v>
      </c>
      <c r="F40" s="30" t="inlineStr">
        <is>
          <t>Partial</t>
        </is>
      </c>
      <c r="G40" s="19" t="inlineStr">
        <is>
          <t>Cost / pricing</t>
        </is>
      </c>
      <c r="H40" s="29" t="inlineStr">
        <is>
          <t>No</t>
        </is>
      </c>
      <c r="I40" s="29" t="inlineStr">
        <is>
          <t>No</t>
        </is>
      </c>
      <c r="J40" s="29" t="inlineStr">
        <is>
          <t>No</t>
        </is>
      </c>
      <c r="K40" s="19" t="n">
        <v>0</v>
      </c>
      <c r="L40" s="19" t="inlineStr">
        <is>
          <t>cost</t>
        </is>
      </c>
      <c r="M40" s="19" t="inlineStr">
        <is>
          <t>C1</t>
        </is>
      </c>
      <c r="N40" s="19" t="inlineStr">
        <is>
          <t>Pricing section: price range or 'from $X', what changes the cost, payment options</t>
        </is>
      </c>
      <c r="O40" s="19" t="inlineStr">
        <is>
          <t>New 'Cost' section before the final call to action</t>
        </is>
      </c>
    </row>
    <row r="41">
      <c r="A41" s="19" t="inlineStr">
        <is>
          <t>https://www.harbourdental.example/services/dental-crowns/</t>
        </is>
      </c>
      <c r="B41" s="19" t="inlineStr">
        <is>
          <t>porcelain crowns</t>
        </is>
      </c>
      <c r="C41" s="20" t="n">
        <v>653</v>
      </c>
      <c r="D41" s="19" t="n">
        <v>3</v>
      </c>
      <c r="E41" s="19" t="n">
        <v>27.9</v>
      </c>
      <c r="F41" s="28" t="inlineStr">
        <is>
          <t>Scattered terms</t>
        </is>
      </c>
      <c r="G41" s="19" t="inlineStr">
        <is>
          <t>Topic / modifier</t>
        </is>
      </c>
      <c r="H41" s="29" t="inlineStr">
        <is>
          <t>No</t>
        </is>
      </c>
      <c r="I41" s="29" t="inlineStr">
        <is>
          <t>No</t>
        </is>
      </c>
      <c r="J41" s="29" t="inlineStr">
        <is>
          <t>No</t>
        </is>
      </c>
      <c r="K41" s="19" t="n">
        <v>0</v>
      </c>
      <c r="L41" s="19" t="inlineStr"/>
      <c r="M41" s="19" t="inlineStr">
        <is>
          <t>C2</t>
        </is>
      </c>
      <c r="N41" s="19" t="inlineStr">
        <is>
          <t>Sentence edit: add the exact phrase naturally to an existing paragraph</t>
        </is>
      </c>
      <c r="O41" s="19" t="inlineStr">
        <is>
          <t>An existing paragraph under 'What is a crown?'</t>
        </is>
      </c>
    </row>
    <row r="42">
      <c r="A42" s="19" t="inlineStr">
        <is>
          <t>https://www.harbourdental.example/services/dental-crowns/</t>
        </is>
      </c>
      <c r="B42" s="19" t="inlineStr">
        <is>
          <t>dental crowns parramatta</t>
        </is>
      </c>
      <c r="C42" s="20" t="n">
        <v>643</v>
      </c>
      <c r="D42" s="19" t="n">
        <v>3</v>
      </c>
      <c r="E42" s="19" t="n">
        <v>22.1</v>
      </c>
      <c r="F42" s="30" t="inlineStr">
        <is>
          <t>Partial</t>
        </is>
      </c>
      <c r="G42" s="19" t="inlineStr">
        <is>
          <t>Topic / modifier</t>
        </is>
      </c>
      <c r="H42" s="29" t="inlineStr">
        <is>
          <t>No</t>
        </is>
      </c>
      <c r="I42" s="29" t="inlineStr">
        <is>
          <t>No</t>
        </is>
      </c>
      <c r="J42" s="29" t="inlineStr">
        <is>
          <t>No</t>
        </is>
      </c>
      <c r="K42" s="19" t="n">
        <v>0</v>
      </c>
      <c r="L42" s="19" t="inlineStr">
        <is>
          <t>parramatta</t>
        </is>
      </c>
      <c r="M42" s="19" t="inlineStr">
        <is>
          <t>C3</t>
        </is>
      </c>
      <c r="N42" s="19" t="inlineStr">
        <is>
          <t>Location sentence: use the phrase once in the intro and once in a heading or the title</t>
        </is>
      </c>
      <c r="O42" s="19" t="inlineStr">
        <is>
          <t>Intro paragraph (first 100 words), plus the H1 or title if it is a top query</t>
        </is>
      </c>
    </row>
    <row r="43">
      <c r="A43" s="19" t="inlineStr">
        <is>
          <t>https://www.harbourdental.example/services/dental-crowns/</t>
        </is>
      </c>
      <c r="B43" s="19" t="inlineStr">
        <is>
          <t>crown vs filling</t>
        </is>
      </c>
      <c r="C43" s="20" t="n">
        <v>568</v>
      </c>
      <c r="D43" s="19" t="n">
        <v>2</v>
      </c>
      <c r="E43" s="19" t="n">
        <v>29.6</v>
      </c>
      <c r="F43" s="30" t="inlineStr">
        <is>
          <t>Partial</t>
        </is>
      </c>
      <c r="G43" s="19" t="inlineStr">
        <is>
          <t>Comparison</t>
        </is>
      </c>
      <c r="H43" s="29" t="inlineStr">
        <is>
          <t>No</t>
        </is>
      </c>
      <c r="I43" s="29" t="inlineStr">
        <is>
          <t>No</t>
        </is>
      </c>
      <c r="J43" s="29" t="inlineStr">
        <is>
          <t>No</t>
        </is>
      </c>
      <c r="K43" s="19" t="n">
        <v>0</v>
      </c>
      <c r="L43" s="19" t="inlineStr">
        <is>
          <t>filling</t>
        </is>
      </c>
      <c r="M43" s="19" t="inlineStr">
        <is>
          <t>C4</t>
        </is>
      </c>
      <c r="N43" s="19" t="inlineStr">
        <is>
          <t>Comparison table + 2-3 sentence verdict</t>
        </is>
      </c>
      <c r="O43" s="19" t="inlineStr">
        <is>
          <t>New comparison section before the final call to action</t>
        </is>
      </c>
    </row>
  </sheetData>
  <autoFilter ref="A1:O43"/>
  <pageMargins left="0.75" right="0.75" top="1" bottom="1" header="0.5" footer="0.5"/>
</worksheet>
</file>

<file path=xl/worksheets/sheet5.xml><?xml version="1.0" encoding="utf-8"?>
<worksheet xmlns="http://schemas.openxmlformats.org/spreadsheetml/2006/main">
  <sheetPr>
    <tabColor rgb="0034D399"/>
    <outlinePr summaryBelow="1" summaryRight="1"/>
    <pageSetUpPr/>
  </sheetPr>
  <dimension ref="A1:L3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38" customWidth="1" min="2" max="2"/>
    <col width="7" customWidth="1" min="3" max="3"/>
    <col width="32" customWidth="1" min="4" max="4"/>
    <col width="11" customWidth="1" min="5" max="5"/>
    <col width="30" customWidth="1" min="6" max="6"/>
    <col width="34" customWidth="1" min="7" max="7"/>
    <col width="34" customWidth="1" min="8" max="8"/>
    <col width="80" customWidth="1" min="9" max="9"/>
    <col width="7" customWidth="1" min="10" max="10"/>
    <col width="32" customWidth="1" min="11" max="11"/>
    <col width="11" customWidth="1" min="12" max="12"/>
  </cols>
  <sheetData>
    <row r="1" ht="32" customHeight="1">
      <c r="A1" s="18" t="inlineStr">
        <is>
          <t>#</t>
        </is>
      </c>
      <c r="B1" s="18" t="inlineStr">
        <is>
          <t>Page URL</t>
        </is>
      </c>
      <c r="C1" s="18" t="inlineStr">
        <is>
          <t>Chunk ID</t>
        </is>
      </c>
      <c r="D1" s="18" t="inlineStr">
        <is>
          <t>Target keywords</t>
        </is>
      </c>
      <c r="E1" s="18" t="inlineStr">
        <is>
          <t>Keyword impressions</t>
        </is>
      </c>
      <c r="F1" s="18" t="inlineStr">
        <is>
          <t>Chunk type</t>
        </is>
      </c>
      <c r="G1" s="18" t="inlineStr">
        <is>
          <t>Where to add it</t>
        </is>
      </c>
      <c r="H1" s="18" t="inlineStr">
        <is>
          <t>Heading</t>
        </is>
      </c>
      <c r="I1" s="18" t="inlineStr">
        <is>
          <t>Content to add (ready to paste)</t>
        </is>
      </c>
      <c r="J1" s="18" t="inlineStr">
        <is>
          <t>Words</t>
        </is>
      </c>
      <c r="K1" s="18" t="inlineStr">
        <is>
          <t>Check before publishing</t>
        </is>
      </c>
      <c r="L1" s="18" t="inlineStr">
        <is>
          <t>Status</t>
        </is>
      </c>
    </row>
    <row r="2" ht="150" customHeight="1">
      <c r="A2" s="19" t="n">
        <v>1</v>
      </c>
      <c r="B2" s="19" t="inlineStr">
        <is>
          <t>https://www.harbourdental.example/services/teeth-whitening/</t>
        </is>
      </c>
      <c r="C2" s="19" t="inlineStr">
        <is>
          <t>C1</t>
        </is>
      </c>
      <c r="D2" s="19" t="inlineStr">
        <is>
          <t>teeth whitening parramatta</t>
        </is>
      </c>
      <c r="E2" s="20" t="n">
        <v>4360</v>
      </c>
      <c r="F2" s="19" t="inlineStr">
        <is>
          <t>Location sentence</t>
        </is>
      </c>
      <c r="G2" s="19" t="inlineStr">
        <is>
          <t>First sentence of the intro + H1</t>
        </is>
      </c>
      <c r="H2" s="25" t="inlineStr"/>
      <c r="I2" s="25" t="inlineStr">
        <is>
          <t>Looking for teeth whitening in Parramatta? Our team at Harbour Dental provides professional whitening for adults who want to lift stains from coffee, tea, red wine and smoking.</t>
        </is>
      </c>
      <c r="J2" s="19">
        <f>IF(OR(LEN(TRIM(I2))=0,I2="(not written yet)"),0,LEN(TRIM(I2))-LEN(SUBSTITUTE(TRIM(I2)," ",""))+1)</f>
        <v/>
      </c>
      <c r="K2" s="33" t="inlineStr"/>
      <c r="L2" s="19" t="inlineStr">
        <is>
          <t>To do</t>
        </is>
      </c>
    </row>
    <row r="3" ht="150" customHeight="1">
      <c r="A3" s="19" t="n">
        <v>2</v>
      </c>
      <c r="B3" s="19" t="inlineStr">
        <is>
          <t>https://www.harbourdental.example/services/teeth-whitening/</t>
        </is>
      </c>
      <c r="C3" s="19" t="inlineStr">
        <is>
          <t>C2</t>
        </is>
      </c>
      <c r="D3" s="19" t="inlineStr">
        <is>
          <t>teeth whitening cost</t>
        </is>
      </c>
      <c r="E3" s="20" t="n">
        <v>2070</v>
      </c>
      <c r="F3" s="19" t="inlineStr">
        <is>
          <t>Teaser + link (another page owns this query)</t>
        </is>
      </c>
      <c r="G3" s="19" t="inlineStr">
        <is>
          <t>Short paragraph before 'Book Your Appointment'</t>
        </is>
      </c>
      <c r="H3" s="25" t="inlineStr">
        <is>
          <t>How much does teeth whitening cost?</t>
        </is>
      </c>
      <c r="I3" s="25" t="inlineStr">
        <is>
          <t>The cost of teeth whitening depends on whether you choose an in-chair session or a take-home kit. In-chair whitening starts from [price] and take-home kits from [price]. See our full teeth whitening cost guide for a breakdown of every option.</t>
        </is>
      </c>
      <c r="J3" s="19">
        <f>IF(OR(LEN(TRIM(I3))=0,I3="(not written yet)"),0,LEN(TRIM(I3))-LEN(SUBSTITUTE(TRIM(I3)," ",""))+1)</f>
        <v/>
      </c>
      <c r="K3" s="33" t="inlineStr">
        <is>
          <t>Link 'teeth whitening cost guide' to /blog/teeth-whitening-cost/. Confirm both prices. Don't add a full price table here - the cost page owns this query.</t>
        </is>
      </c>
      <c r="L3" s="19" t="inlineStr">
        <is>
          <t>To do</t>
        </is>
      </c>
    </row>
    <row r="4" ht="150" customHeight="1">
      <c r="A4" s="19" t="n">
        <v>3</v>
      </c>
      <c r="B4" s="19" t="inlineStr">
        <is>
          <t>https://www.harbourdental.example/services/teeth-whitening/</t>
        </is>
      </c>
      <c r="C4" s="19" t="inlineStr">
        <is>
          <t>C4</t>
        </is>
      </c>
      <c r="D4" s="19" t="inlineStr">
        <is>
          <t>how long does teeth whitening last, is teeth whitening safe</t>
        </is>
      </c>
      <c r="E4" s="20" t="n">
        <v>1609</v>
      </c>
      <c r="F4" s="19" t="inlineStr">
        <is>
          <t>FAQ</t>
        </is>
      </c>
      <c r="G4" s="19" t="inlineStr">
        <is>
          <t>New FAQ section before 'Book Your Appointment'</t>
        </is>
      </c>
      <c r="H4" s="25" t="inlineStr">
        <is>
          <t>Teeth whitening FAQs</t>
        </is>
      </c>
      <c r="I4" s="25" t="inlineStr">
        <is>
          <t>Q: How long does teeth whitening last?
A: Professional whitening usually lasts from [6 months to 2 years]. How long yours lasts depends on what you eat and drink, whether you smoke and how well you care for your teeth. Using your take-home trays for a quick top-up every few months keeps your smile bright for longer.
Q: Is teeth whitening safe?
A: Yes. Teeth whitening is safe when it's done or supervised by a dentist. We check your teeth and gums first, protect your gums during treatment and use professional gels at the right strength. Some people feel temporary sensitivity for a day or two, which settles on its own.</t>
        </is>
      </c>
      <c r="J4" s="19">
        <f>IF(OR(LEN(TRIM(I4))=0,I4="(not written yet)"),0,LEN(TRIM(I4))-LEN(SUBSTITUTE(TRIM(I4)," ",""))+1)</f>
        <v/>
      </c>
      <c r="K4" s="33" t="inlineStr">
        <is>
          <t>Confirm the typical result duration the clinic quotes.</t>
        </is>
      </c>
      <c r="L4" s="19" t="inlineStr">
        <is>
          <t>To do</t>
        </is>
      </c>
    </row>
    <row r="5" ht="150" customHeight="1">
      <c r="A5" s="19" t="n">
        <v>4</v>
      </c>
      <c r="B5" s="19" t="inlineStr">
        <is>
          <t>https://www.harbourdental.example/services/teeth-whitening/</t>
        </is>
      </c>
      <c r="C5" s="19" t="inlineStr">
        <is>
          <t>C3</t>
        </is>
      </c>
      <c r="D5" s="19" t="inlineStr">
        <is>
          <t>professional teeth whitening</t>
        </is>
      </c>
      <c r="E5" s="20" t="n">
        <v>1439</v>
      </c>
      <c r="F5" s="19" t="inlineStr">
        <is>
          <t>Heading edit</t>
        </is>
      </c>
      <c r="G5" s="19" t="inlineStr">
        <is>
          <t>H2 'Our Whitening Treatments'</t>
        </is>
      </c>
      <c r="H5" s="25" t="inlineStr">
        <is>
          <t>Professional Teeth Whitening Treatments</t>
        </is>
      </c>
      <c r="I5" s="25" t="inlineStr">
        <is>
          <t>H2 'Our Whitening Treatments' -&gt; 'Professional Teeth Whitening Treatments'</t>
        </is>
      </c>
      <c r="J5" s="19">
        <f>IF(OR(LEN(TRIM(I5))=0,I5="(not written yet)"),0,LEN(TRIM(I5))-LEN(SUBSTITUTE(TRIM(I5)," ",""))+1)</f>
        <v/>
      </c>
      <c r="K5" s="33" t="inlineStr"/>
      <c r="L5" s="19" t="inlineStr">
        <is>
          <t>To do</t>
        </is>
      </c>
    </row>
    <row r="6" ht="150" customHeight="1">
      <c r="A6" s="19" t="n">
        <v>5</v>
      </c>
      <c r="B6" s="19" t="inlineStr">
        <is>
          <t>https://www.harbourdental.example/services/teeth-whitening/</t>
        </is>
      </c>
      <c r="C6" s="19" t="inlineStr">
        <is>
          <t>C5</t>
        </is>
      </c>
      <c r="D6" s="19" t="inlineStr">
        <is>
          <t>zoom teeth whitening</t>
        </is>
      </c>
      <c r="E6" s="20" t="n">
        <v>796</v>
      </c>
      <c r="F6" s="19" t="inlineStr">
        <is>
          <t>New H3 section</t>
        </is>
      </c>
      <c r="G6" s="19" t="inlineStr">
        <is>
          <t>New H3 under 'Professional Teeth Whitening Treatments', after the in-chair paragraph</t>
        </is>
      </c>
      <c r="H6" s="25" t="inlineStr">
        <is>
          <t>Zoom teeth whitening</t>
        </is>
      </c>
      <c r="I6" s="25" t="inlineStr">
        <is>
          <t>Zoom teeth whitening is a popular in-chair system that uses a professional whitening gel activated by a special light. [It is one of the in-chair options we offer at our Parramatta clinic.] A session takes about an hour, and many patients see their teeth several shades lighter by the time they leave. We'll check whether Zoom or another in-chair option suits your teeth during your consultation.</t>
        </is>
      </c>
      <c r="J6" s="19">
        <f>IF(OR(LEN(TRIM(I6))=0,I6="(not written yet)"),0,LEN(TRIM(I6))-LEN(SUBSTITUTE(TRIM(I6)," ",""))+1)</f>
        <v/>
      </c>
      <c r="K6" s="33" t="inlineStr">
        <is>
          <t>Only publish if the clinic actually offers Zoom. If not, replace with a sentence explaining the in-chair system it does use.</t>
        </is>
      </c>
      <c r="L6" s="19" t="inlineStr">
        <is>
          <t>To do</t>
        </is>
      </c>
    </row>
    <row r="7" ht="150" customHeight="1">
      <c r="A7" s="19" t="n">
        <v>6</v>
      </c>
      <c r="B7" s="19" t="inlineStr">
        <is>
          <t>https://www.harbourdental.example/services/teeth-whitening/</t>
        </is>
      </c>
      <c r="C7" s="19" t="inlineStr">
        <is>
          <t>C6</t>
        </is>
      </c>
      <c r="D7" s="19" t="inlineStr">
        <is>
          <t>in chair teeth whitening</t>
        </is>
      </c>
      <c r="E7" s="20" t="n">
        <v>410</v>
      </c>
      <c r="F7" s="19" t="inlineStr">
        <is>
          <t>Sentence edit</t>
        </is>
      </c>
      <c r="G7" s="19" t="inlineStr">
        <is>
          <t>First sentence under 'Professional Teeth Whitening Treatments'</t>
        </is>
      </c>
      <c r="H7" s="25" t="inlineStr"/>
      <c r="I7" s="25" t="inlineStr">
        <is>
          <t>Before: "We offer an in-chair whitening session that takes about one hour."
After: "Our in-chair teeth whitening session takes about one hour."</t>
        </is>
      </c>
      <c r="J7" s="19">
        <f>IF(OR(LEN(TRIM(I7))=0,I7="(not written yet)"),0,LEN(TRIM(I7))-LEN(SUBSTITUTE(TRIM(I7)," ",""))+1)</f>
        <v/>
      </c>
      <c r="K7" s="33" t="inlineStr"/>
      <c r="L7" s="19" t="inlineStr">
        <is>
          <t>To do</t>
        </is>
      </c>
    </row>
    <row r="8" ht="150" customHeight="1">
      <c r="A8" s="19" t="n">
        <v>7</v>
      </c>
      <c r="B8" s="19" t="inlineStr">
        <is>
          <t>https://www.harbourdental.example/services/invisalign/</t>
        </is>
      </c>
      <c r="C8" s="19" t="inlineStr">
        <is>
          <t>C1</t>
        </is>
      </c>
      <c r="D8" s="19" t="inlineStr">
        <is>
          <t>invisalign cost, invisalign payment plans</t>
        </is>
      </c>
      <c r="E8" s="20" t="n">
        <v>3786</v>
      </c>
      <c r="F8" s="19" t="inlineStr">
        <is>
          <t>Pricing section</t>
        </is>
      </c>
      <c r="G8" s="19" t="inlineStr">
        <is>
          <t>New H2 after 'Who is Invisalign suitable for?'</t>
        </is>
      </c>
      <c r="H8" s="25" t="inlineStr">
        <is>
          <t>How much does Invisalign cost?</t>
        </is>
      </c>
      <c r="I8" s="25" t="inlineStr">
        <is>
          <t>Invisalign at our Parramatta clinic typically costs [price range], depending on how complex your case is. We confirm your exact price after your 3D scan, so there are no surprises.
What affects the cost:
- How far your teeth need to move
- The number of aligners in your plan
- Whether you need refinement aligners at the end
- Retainers to hold your new smile in place
Invisalign payment plans let you spread the cost over [term] from [$X per week]. Ask about health fund rebates for orthodontic cover.</t>
        </is>
      </c>
      <c r="J8" s="19">
        <f>IF(OR(LEN(TRIM(I8))=0,I8="(not written yet)"),0,LEN(TRIM(I8))-LEN(SUBSTITUTE(TRIM(I8)," ",""))+1)</f>
        <v/>
      </c>
      <c r="K8" s="33" t="inlineStr">
        <is>
          <t>Confirm price range, payment-plan term and weekly amount, and whether health fund rebates apply.</t>
        </is>
      </c>
      <c r="L8" s="19" t="inlineStr">
        <is>
          <t>To do</t>
        </is>
      </c>
    </row>
    <row r="9" ht="150" customHeight="1">
      <c r="A9" s="19" t="n">
        <v>8</v>
      </c>
      <c r="B9" s="19" t="inlineStr">
        <is>
          <t>https://www.harbourdental.example/services/invisalign/</t>
        </is>
      </c>
      <c r="C9" s="19" t="inlineStr">
        <is>
          <t>C2</t>
        </is>
      </c>
      <c r="D9" s="19" t="inlineStr">
        <is>
          <t>invisalign parramatta</t>
        </is>
      </c>
      <c r="E9" s="20" t="n">
        <v>1938</v>
      </c>
      <c r="F9" s="19" t="inlineStr">
        <is>
          <t>Sentence edit</t>
        </is>
      </c>
      <c r="G9" s="19" t="inlineStr">
        <is>
          <t>Last sentence of the page / intro</t>
        </is>
      </c>
      <c r="H9" s="25" t="inlineStr"/>
      <c r="I9" s="25" t="inlineStr">
        <is>
          <t>Before: "Harbour Dental is an Invisalign provider in Parramatta."
After (move to the intro): "Harbour Dental is a certified provider of Invisalign in Parramatta, so you can start your treatment close to home."</t>
        </is>
      </c>
      <c r="J9" s="19">
        <f>IF(OR(LEN(TRIM(I9))=0,I9="(not written yet)"),0,LEN(TRIM(I9))-LEN(SUBSTITUTE(TRIM(I9)," ",""))+1)</f>
        <v/>
      </c>
      <c r="K9" s="33" t="inlineStr">
        <is>
          <t>Confirm the provider status wording.</t>
        </is>
      </c>
      <c r="L9" s="19" t="inlineStr">
        <is>
          <t>To do</t>
        </is>
      </c>
    </row>
    <row r="10" ht="150" customHeight="1">
      <c r="A10" s="19" t="n">
        <v>9</v>
      </c>
      <c r="B10" s="19" t="inlineStr">
        <is>
          <t>https://www.harbourdental.example/services/invisalign/</t>
        </is>
      </c>
      <c r="C10" s="19" t="inlineStr">
        <is>
          <t>C3</t>
        </is>
      </c>
      <c r="D10" s="19" t="inlineStr">
        <is>
          <t>invisalign provider near me</t>
        </is>
      </c>
      <c r="E10" s="20" t="n">
        <v>915</v>
      </c>
      <c r="F10" s="19" t="inlineStr">
        <is>
          <t>Local signals</t>
        </is>
      </c>
      <c r="G10" s="19" t="inlineStr">
        <is>
          <t>Intro + contact block</t>
        </is>
      </c>
      <c r="H10" s="25" t="inlineStr"/>
      <c r="I10" s="25" t="inlineStr">
        <is>
          <t>- Name Parramatta and nearby suburbs in the intro: "...for patients in Parramatta, Westmead, Harris Park and North Parramatta"
- Add the clinic address, opening hours and a map embed above the final call to action
- Add Dentist (LocalBusiness) schema with address, geo and areaServed
- Link to the Google Business Profile and show the Invisalign provider badge if the clinic has one</t>
        </is>
      </c>
      <c r="J10" s="19">
        <f>IF(OR(LEN(TRIM(I10))=0,I10="(not written yet)"),0,LEN(TRIM(I10))-LEN(SUBSTITUTE(TRIM(I10)," ",""))+1)</f>
        <v/>
      </c>
      <c r="K10" s="33" t="inlineStr">
        <is>
          <t>Confirm the suburbs served.</t>
        </is>
      </c>
      <c r="L10" s="19" t="inlineStr">
        <is>
          <t>To do</t>
        </is>
      </c>
    </row>
    <row r="11" ht="150" customHeight="1">
      <c r="A11" s="19" t="n">
        <v>10</v>
      </c>
      <c r="B11" s="19" t="inlineStr">
        <is>
          <t>https://www.harbourdental.example/services/invisalign/</t>
        </is>
      </c>
      <c r="C11" s="19" t="inlineStr">
        <is>
          <t>C4</t>
        </is>
      </c>
      <c r="D11" s="19" t="inlineStr">
        <is>
          <t>how long does invisalign take</t>
        </is>
      </c>
      <c r="E11" s="20" t="n">
        <v>715</v>
      </c>
      <c r="F11" s="19" t="inlineStr">
        <is>
          <t>FAQ</t>
        </is>
      </c>
      <c r="G11" s="19" t="inlineStr">
        <is>
          <t>New FAQ section before the final call to action</t>
        </is>
      </c>
      <c r="H11" s="25" t="inlineStr">
        <is>
          <t>Invisalign FAQs</t>
        </is>
      </c>
      <c r="I11" s="25" t="inlineStr">
        <is>
          <t>Q: How long does Invisalign take?
A: Most Invisalign treatments take between [6 and 18 months], and simple cases can be quicker. How long yours takes depends on how much your teeth need to move and on wearing your aligners for 20-22 hours a day. Your 3D scan plan shows your expected timeline before you start.</t>
        </is>
      </c>
      <c r="J11" s="19">
        <f>IF(OR(LEN(TRIM(I11))=0,I11="(not written yet)"),0,LEN(TRIM(I11))-LEN(SUBSTITUTE(TRIM(I11)," ",""))+1)</f>
        <v/>
      </c>
      <c r="K11" s="33" t="inlineStr">
        <is>
          <t>Confirm the typical treatment range the clinic quotes.</t>
        </is>
      </c>
      <c r="L11" s="19" t="inlineStr">
        <is>
          <t>To do</t>
        </is>
      </c>
    </row>
    <row r="12" ht="150" customHeight="1">
      <c r="A12" s="19" t="n">
        <v>11</v>
      </c>
      <c r="B12" s="19" t="inlineStr">
        <is>
          <t>https://www.harbourdental.example/blog/invisalign-vs-braces/</t>
        </is>
      </c>
      <c r="C12" s="19" t="inlineStr">
        <is>
          <t>C1</t>
        </is>
      </c>
      <c r="D12" s="19" t="inlineStr">
        <is>
          <t>invisalign vs braces cost, braces or invisalign for adults, invisalign vs braces pros and cons, which is faster invisalign or braces</t>
        </is>
      </c>
      <c r="E12" s="20" t="n">
        <v>2775</v>
      </c>
      <c r="F12" s="19" t="inlineStr">
        <is>
          <t>Comparison table + verdict</t>
        </is>
      </c>
      <c r="G12" s="19" t="inlineStr">
        <is>
          <t>Right after the intro</t>
        </is>
      </c>
      <c r="H12" s="25" t="inlineStr">
        <is>
          <t>Invisalign vs braces at a glance</t>
        </is>
      </c>
      <c r="I12" s="25" t="inlineStr">
        <is>
          <t>| | Invisalign | Braces |
| Cost | [range] | [range] |
| Treatment time | Typically [x-y] months | Typically [x-y] months |
| Looks | Nearly invisible | Visible brackets and wire |
| Comfort | Smooth plastic, no wires | Brackets can rub at first |
| Eating | Remove aligners to eat | Avoid hard and sticky foods |
| Best for | Mild to moderate cases, adults and teens who'll wear them 22 hours a day | Complex cases, or anyone who'd forget to wear aligners |
Pros and cons in short: Invisalign wins on looks and comfort but only works if you wear it. Braces work around the clock and suit complex bites, but they're more visible.
Which is faster, Invisalign or braces? For mild cases Invisalign can be as fast or faster; for complex movements braces are often quicker.
Braces or Invisalign for adults? Most adults choose Invisalign because it's discreet, but braces remain the better choice for severe crowding or bite problems.</t>
        </is>
      </c>
      <c r="J12" s="19">
        <f>IF(OR(LEN(TRIM(I12))=0,I12="(not written yet)"),0,LEN(TRIM(I12))-LEN(SUBSTITUTE(TRIM(I12)," ",""))+1)</f>
        <v/>
      </c>
      <c r="K12" s="33" t="inlineStr">
        <is>
          <t>Fill in cost and treatment-time ranges from the clinic's real fees.</t>
        </is>
      </c>
      <c r="L12" s="19" t="inlineStr">
        <is>
          <t>To do</t>
        </is>
      </c>
    </row>
    <row r="13" ht="150" customHeight="1">
      <c r="A13" s="19" t="n">
        <v>12</v>
      </c>
      <c r="B13" s="19" t="inlineStr">
        <is>
          <t>https://www.harbourdental.example/blog/how-long-do-dental-implants-last/</t>
        </is>
      </c>
      <c r="C13" s="19" t="inlineStr">
        <is>
          <t>C1</t>
        </is>
      </c>
      <c r="D13" s="19" t="inlineStr">
        <is>
          <t>dental implant lifespan</t>
        </is>
      </c>
      <c r="E13" s="20" t="n">
        <v>991</v>
      </c>
      <c r="F13" s="19" t="inlineStr">
        <is>
          <t>New H2 section</t>
        </is>
      </c>
      <c r="G13" s="19" t="inlineStr">
        <is>
          <t>New H2 straight after the intro</t>
        </is>
      </c>
      <c r="H13" s="25" t="inlineStr">
        <is>
          <t>Dental implant lifespan: post vs crown</t>
        </is>
      </c>
      <c r="I13" s="25" t="inlineStr">
        <is>
          <t>A dental implant has two parts with different lifespans. The titanium post fused to your jaw is designed to be permanent and, with good care, often lasts for decades or a lifetime. The crown on top takes the daily wear of chewing, so it usually lasts 10 to 15 years before it may need replacing. When people ask about dental implant lifespan, the crown is usually the part that needs attention first.</t>
        </is>
      </c>
      <c r="J13" s="19">
        <f>IF(OR(LEN(TRIM(I13))=0,I13="(not written yet)"),0,LEN(TRIM(I13))-LEN(SUBSTITUTE(TRIM(I13)," ",""))+1)</f>
        <v/>
      </c>
      <c r="K13" s="33" t="inlineStr"/>
      <c r="L13" s="19" t="inlineStr">
        <is>
          <t>To do</t>
        </is>
      </c>
    </row>
    <row r="14" ht="150" customHeight="1">
      <c r="A14" s="19" t="n">
        <v>13</v>
      </c>
      <c r="B14" s="19" t="inlineStr">
        <is>
          <t>https://www.harbourdental.example/blog/how-long-do-dental-implants-last/</t>
        </is>
      </c>
      <c r="C14" s="19" t="inlineStr">
        <is>
          <t>C2</t>
        </is>
      </c>
      <c r="D14" s="19" t="inlineStr">
        <is>
          <t>do dental implants last forever</t>
        </is>
      </c>
      <c r="E14" s="20" t="n">
        <v>682</v>
      </c>
      <c r="F14" s="19" t="inlineStr">
        <is>
          <t>FAQ</t>
        </is>
      </c>
      <c r="G14" s="19" t="inlineStr">
        <is>
          <t>New FAQ section before the conclusion</t>
        </is>
      </c>
      <c r="H14" s="25" t="inlineStr">
        <is>
          <t>Dental implant FAQs</t>
        </is>
      </c>
      <c r="I14" s="25" t="inlineStr">
        <is>
          <t>Q: Do dental implants last forever?
A: The implant post can last a lifetime, but the whole implant isn't maintenance-free. The crown usually needs replacing after 10 to 15 years, and gum disease, smoking or teeth grinding can shorten the life of the post. Brushing, flossing and regular check-ups give your implant the best chance of lasting.</t>
        </is>
      </c>
      <c r="J14" s="19">
        <f>IF(OR(LEN(TRIM(I14))=0,I14="(not written yet)"),0,LEN(TRIM(I14))-LEN(SUBSTITUTE(TRIM(I14)," ",""))+1)</f>
        <v/>
      </c>
      <c r="K14" s="33" t="inlineStr"/>
      <c r="L14" s="19" t="inlineStr">
        <is>
          <t>To do</t>
        </is>
      </c>
    </row>
    <row r="15" ht="150" customHeight="1">
      <c r="A15" s="19" t="n">
        <v>14</v>
      </c>
      <c r="B15" s="19" t="inlineStr">
        <is>
          <t>https://www.harbourdental.example/blog/how-long-do-dental-implants-last/</t>
        </is>
      </c>
      <c r="C15" s="19" t="inlineStr">
        <is>
          <t>C3</t>
        </is>
      </c>
      <c r="D15" s="19" t="inlineStr">
        <is>
          <t>dental implant failure signs</t>
        </is>
      </c>
      <c r="E15" s="20" t="n">
        <v>501</v>
      </c>
      <c r="F15" s="19" t="inlineStr">
        <is>
          <t>List section</t>
        </is>
      </c>
      <c r="G15" s="19" t="inlineStr">
        <is>
          <t>New H2 after 'What affects how long an implant lasts'</t>
        </is>
      </c>
      <c r="H15" s="25" t="inlineStr">
        <is>
          <t>Signs your dental implant may be failing</t>
        </is>
      </c>
      <c r="I15" s="25" t="inlineStr">
        <is>
          <t>See your dentist promptly if you notice any of these dental implant failure signs:
- The implant or crown feels loose or moves when you bite
- Pain or throbbing around the implant that doesn't settle
- Swollen, red or bleeding gums around the implant
- Gum shrinking back so the metal post becomes visible
- Difficulty or discomfort when chewing
Caught early, many implant problems can be treated without losing the implant.</t>
        </is>
      </c>
      <c r="J15" s="19">
        <f>IF(OR(LEN(TRIM(I15))=0,I15="(not written yet)"),0,LEN(TRIM(I15))-LEN(SUBSTITUTE(TRIM(I15)," ",""))+1)</f>
        <v/>
      </c>
      <c r="K15" s="33" t="inlineStr"/>
      <c r="L15" s="19" t="inlineStr">
        <is>
          <t>To do</t>
        </is>
      </c>
    </row>
    <row r="16" ht="150" customHeight="1">
      <c r="A16" s="19" t="n">
        <v>15</v>
      </c>
      <c r="B16" s="19" t="inlineStr">
        <is>
          <t>https://www.harbourdental.example/blog/how-long-do-dental-implants-last/</t>
        </is>
      </c>
      <c r="C16" s="19" t="inlineStr">
        <is>
          <t>C4</t>
        </is>
      </c>
      <c r="D16" s="19" t="inlineStr">
        <is>
          <t>implant vs bridge longevity</t>
        </is>
      </c>
      <c r="E16" s="20" t="n">
        <v>280</v>
      </c>
      <c r="F16" s="19" t="inlineStr">
        <is>
          <t>Comparison table + verdict</t>
        </is>
      </c>
      <c r="G16" s="19" t="inlineStr">
        <is>
          <t>New H2 before 'Caring for your implant'</t>
        </is>
      </c>
      <c r="H16" s="25" t="inlineStr">
        <is>
          <t>Implant vs bridge: which lasts longer?</t>
        </is>
      </c>
      <c r="I16" s="25" t="inlineStr">
        <is>
          <t>| | Dental implant | Dental bridge |
| Typical lifespan | Post: decades; crown: 10-15 years | Typically [10-15] years |
| Effect on nearby teeth | None - stands alone | Neighbouring teeth are filed down to hold it |
| Jawbone | Helps preserve bone | Bone can shrink under the gap |
On implant vs bridge longevity, an implant usually wins because the post can last a lifetime and it doesn't rely on the teeth next to it. A bridge can be a good, quicker option when implants aren't suitable.</t>
        </is>
      </c>
      <c r="J16" s="19">
        <f>IF(OR(LEN(TRIM(I16))=0,I16="(not written yet)"),0,LEN(TRIM(I16))-LEN(SUBSTITUTE(TRIM(I16)," ",""))+1)</f>
        <v/>
      </c>
      <c r="K16" s="33" t="inlineStr">
        <is>
          <t>Confirm the bridge lifespan range the clinic quotes.</t>
        </is>
      </c>
      <c r="L16" s="19" t="inlineStr">
        <is>
          <t>To do</t>
        </is>
      </c>
    </row>
    <row r="17" ht="150" customHeight="1">
      <c r="A17" s="19" t="n">
        <v>16</v>
      </c>
      <c r="B17" s="19" t="inlineStr">
        <is>
          <t>https://www.harbourdental.example/services/dental-implants/</t>
        </is>
      </c>
      <c r="C17" s="19" t="inlineStr">
        <is>
          <t>C1</t>
        </is>
      </c>
      <c r="D17" s="19" t="inlineStr">
        <is>
          <t>dental implants cost, dental implants payment plan</t>
        </is>
      </c>
      <c r="E17" s="20" t="n">
        <v>4402</v>
      </c>
      <c r="F17" s="19" t="inlineStr">
        <is>
          <t>Pricing section</t>
        </is>
      </c>
      <c r="G17" s="19" t="inlineStr">
        <is>
          <t>New H2 right after the intro</t>
        </is>
      </c>
      <c r="H17" s="25" t="inlineStr">
        <is>
          <t>How much do dental implants cost?</t>
        </is>
      </c>
      <c r="I17" s="25" t="inlineStr">
        <is>
          <t>A single dental implant at our Parramatta clinic typically costs [price range], including the implant post, abutment and crown. Your exact quote depends on your 3D scan.
What affects dental implants cost:
- How many teeth you're replacing
- Whether you need a bone graft or sinus lift first
- The type of implant and crown material
- Single implants vs full-arch options like All-on-4
A dental implants payment plan lets you spread the cost from [$X per week]. We give you a written, itemised quote before any treatment starts.</t>
        </is>
      </c>
      <c r="J17" s="19">
        <f>IF(OR(LEN(TRIM(I17))=0,I17="(not written yet)"),0,LEN(TRIM(I17))-LEN(SUBSTITUTE(TRIM(I17)," ",""))+1)</f>
        <v/>
      </c>
      <c r="K17" s="33" t="inlineStr">
        <is>
          <t>Confirm price range, what's included and payment-plan terms.</t>
        </is>
      </c>
      <c r="L17" s="19" t="inlineStr">
        <is>
          <t>To do</t>
        </is>
      </c>
    </row>
    <row r="18" ht="150" customHeight="1">
      <c r="A18" s="19" t="n">
        <v>17</v>
      </c>
      <c r="B18" s="19" t="inlineStr">
        <is>
          <t>https://www.harbourdental.example/services/dental-implants/</t>
        </is>
      </c>
      <c r="C18" s="19" t="inlineStr">
        <is>
          <t>C2</t>
        </is>
      </c>
      <c r="D18" s="19" t="inlineStr">
        <is>
          <t>all on 4 dental implants</t>
        </is>
      </c>
      <c r="E18" s="20" t="n">
        <v>1517</v>
      </c>
      <c r="F18" s="19" t="inlineStr">
        <is>
          <t>New H2 section</t>
        </is>
      </c>
      <c r="G18" s="19" t="inlineStr">
        <is>
          <t>New H2 after 'The implant process'</t>
        </is>
      </c>
      <c r="H18" s="25" t="inlineStr">
        <is>
          <t>All-on-4 dental implants</t>
        </is>
      </c>
      <c r="I18" s="25" t="inlineStr">
        <is>
          <t>All-on-4 dental implants replace a full arch of teeth using just four implants. A fixed bridge of new teeth is attached to the implants, often on the same day as surgery [confirm], so you don't go without teeth while you heal. All-on-4 suits people who have lost most of their teeth or who are tired of loose dentures. It also often avoids bone grafting because the implants are angled to use the strongest bone.</t>
        </is>
      </c>
      <c r="J18" s="19">
        <f>IF(OR(LEN(TRIM(I18))=0,I18="(not written yet)"),0,LEN(TRIM(I18))-LEN(SUBSTITUTE(TRIM(I18)," ",""))+1)</f>
        <v/>
      </c>
      <c r="K18" s="33" t="inlineStr">
        <is>
          <t>Only publish if the clinic offers All-on-4; confirm the same-day teeth claim.</t>
        </is>
      </c>
      <c r="L18" s="19" t="inlineStr">
        <is>
          <t>To do</t>
        </is>
      </c>
    </row>
    <row r="19" ht="150" customHeight="1">
      <c r="A19" s="19" t="n">
        <v>18</v>
      </c>
      <c r="B19" s="19" t="inlineStr">
        <is>
          <t>https://www.harbourdental.example/services/dental-implants/</t>
        </is>
      </c>
      <c r="C19" s="19" t="inlineStr">
        <is>
          <t>C3</t>
        </is>
      </c>
      <c r="D19" s="19" t="inlineStr">
        <is>
          <t>single tooth implant</t>
        </is>
      </c>
      <c r="E19" s="20" t="n">
        <v>947</v>
      </c>
      <c r="F19" s="19" t="inlineStr">
        <is>
          <t>New H2 section</t>
        </is>
      </c>
      <c r="G19" s="19" t="inlineStr">
        <is>
          <t>New H2 before 'All-on-4 dental implants'</t>
        </is>
      </c>
      <c r="H19" s="25" t="inlineStr">
        <is>
          <t>Single tooth implants</t>
        </is>
      </c>
      <c r="I19" s="25" t="inlineStr">
        <is>
          <t>A single tooth implant replaces one missing tooth without touching the teeth on either side. A titanium post is placed where the root used to be, and once it has bonded with the bone a custom crown is fitted to match your natural teeth. It looks, feels and works like a real tooth, and because it stands on its own, you clean it just like the rest of your teeth.</t>
        </is>
      </c>
      <c r="J19" s="19">
        <f>IF(OR(LEN(TRIM(I19))=0,I19="(not written yet)"),0,LEN(TRIM(I19))-LEN(SUBSTITUTE(TRIM(I19)," ",""))+1)</f>
        <v/>
      </c>
      <c r="K19" s="33" t="inlineStr"/>
      <c r="L19" s="19" t="inlineStr">
        <is>
          <t>To do</t>
        </is>
      </c>
    </row>
    <row r="20" ht="150" customHeight="1">
      <c r="A20" s="19" t="n">
        <v>19</v>
      </c>
      <c r="B20" s="19" t="inlineStr">
        <is>
          <t>https://www.harbourdental.example/services/dental-implants/</t>
        </is>
      </c>
      <c r="C20" s="19" t="inlineStr">
        <is>
          <t>C4</t>
        </is>
      </c>
      <c r="D20" s="19" t="inlineStr">
        <is>
          <t>are dental implants painful</t>
        </is>
      </c>
      <c r="E20" s="20" t="n">
        <v>540</v>
      </c>
      <c r="F20" s="19" t="inlineStr">
        <is>
          <t>FAQ</t>
        </is>
      </c>
      <c r="G20" s="19" t="inlineStr">
        <is>
          <t>New FAQ section before 'Why choose Harbour Dental'</t>
        </is>
      </c>
      <c r="H20" s="25" t="inlineStr">
        <is>
          <t>Dental implant FAQs</t>
        </is>
      </c>
      <c r="I20" s="25" t="inlineStr">
        <is>
          <t>Q: Are dental implants painful?
A: Most patients say getting a dental implant is less painful than they expected. The area is fully numbed with local anaesthetic, so you shouldn't feel pain during the procedure. Afterwards you may have some soreness and swelling for a few days, which over-the-counter pain relief usually manages. Sedation is available if you're nervous [confirm].</t>
        </is>
      </c>
      <c r="J20" s="19">
        <f>IF(OR(LEN(TRIM(I20))=0,I20="(not written yet)"),0,LEN(TRIM(I20))-LEN(SUBSTITUTE(TRIM(I20)," ",""))+1)</f>
        <v/>
      </c>
      <c r="K20" s="33" t="inlineStr">
        <is>
          <t>Confirm sedation is offered for implant surgery.</t>
        </is>
      </c>
      <c r="L20" s="19" t="inlineStr">
        <is>
          <t>To do</t>
        </is>
      </c>
    </row>
    <row r="21" ht="150" customHeight="1">
      <c r="A21" s="19" t="n">
        <v>20</v>
      </c>
      <c r="B21" s="19" t="inlineStr">
        <is>
          <t>https://www.harbourdental.example/services/root-canal/</t>
        </is>
      </c>
      <c r="C21" s="19" t="inlineStr">
        <is>
          <t>C1</t>
        </is>
      </c>
      <c r="D21" s="19" t="inlineStr">
        <is>
          <t>root canal cost</t>
        </is>
      </c>
      <c r="E21" s="20" t="n">
        <v>2228</v>
      </c>
      <c r="F21" s="19" t="inlineStr">
        <is>
          <t>Pricing section</t>
        </is>
      </c>
      <c r="G21" s="19" t="inlineStr">
        <is>
          <t>New H2 after 'What happens during treatment'</t>
        </is>
      </c>
      <c r="H21" s="25" t="inlineStr">
        <is>
          <t>How much does a root canal cost?</t>
        </is>
      </c>
      <c r="I21" s="25" t="inlineStr">
        <is>
          <t>Root canal cost at our Parramatta clinic typically ranges from [price range], depending on the tooth. Front teeth have one canal and cost less; molars have three or four canals and take longer.
What affects the price:
- Which tooth needs treatment (front, premolar or molar)
- How many canals need cleaning
- Whether you need a crown afterwards
- Whether the tooth has had a root canal before
Your health fund may cover part of the cost under major dental. Payment plans are available [confirm].</t>
        </is>
      </c>
      <c r="J21" s="19">
        <f>IF(OR(LEN(TRIM(I21))=0,I21="(not written yet)"),0,LEN(TRIM(I21))-LEN(SUBSTITUTE(TRIM(I21)," ",""))+1)</f>
        <v/>
      </c>
      <c r="K21" s="33" t="inlineStr">
        <is>
          <t>Confirm price ranges and payment plans.</t>
        </is>
      </c>
      <c r="L21" s="19" t="inlineStr">
        <is>
          <t>To do</t>
        </is>
      </c>
    </row>
    <row r="22" ht="150" customHeight="1">
      <c r="A22" s="19" t="n">
        <v>21</v>
      </c>
      <c r="B22" s="19" t="inlineStr">
        <is>
          <t>https://www.harbourdental.example/services/root-canal/</t>
        </is>
      </c>
      <c r="C22" s="19" t="inlineStr">
        <is>
          <t>C2</t>
        </is>
      </c>
      <c r="D22" s="19" t="inlineStr">
        <is>
          <t>does a root canal hurt</t>
        </is>
      </c>
      <c r="E22" s="20" t="n">
        <v>1138</v>
      </c>
      <c r="F22" s="19" t="inlineStr">
        <is>
          <t>FAQ</t>
        </is>
      </c>
      <c r="G22" s="19" t="inlineStr">
        <is>
          <t>New FAQ section before the final call to action</t>
        </is>
      </c>
      <c r="H22" s="25" t="inlineStr">
        <is>
          <t>Root canal FAQs</t>
        </is>
      </c>
      <c r="I22" s="25" t="inlineStr">
        <is>
          <t>Q: Does a root canal hurt?
A: A root canal shouldn't hurt more than a normal filling. Your dentist numbs the tooth completely before starting, and the treatment removes the infection that was causing your pain. Expect some tenderness for a few days afterwards, which usually settles with over-the-counter pain relief.</t>
        </is>
      </c>
      <c r="J22" s="19">
        <f>IF(OR(LEN(TRIM(I22))=0,I22="(not written yet)"),0,LEN(TRIM(I22))-LEN(SUBSTITUTE(TRIM(I22)," ",""))+1)</f>
        <v/>
      </c>
      <c r="K22" s="33" t="inlineStr"/>
      <c r="L22" s="19" t="inlineStr">
        <is>
          <t>To do</t>
        </is>
      </c>
    </row>
    <row r="23" ht="150" customHeight="1">
      <c r="A23" s="19" t="n">
        <v>22</v>
      </c>
      <c r="B23" s="19" t="inlineStr">
        <is>
          <t>https://www.harbourdental.example/services/root-canal/</t>
        </is>
      </c>
      <c r="C23" s="19" t="inlineStr">
        <is>
          <t>C3</t>
        </is>
      </c>
      <c r="D23" s="19" t="inlineStr">
        <is>
          <t>root canal parramatta</t>
        </is>
      </c>
      <c r="E23" s="20" t="n">
        <v>1029</v>
      </c>
      <c r="F23" s="19" t="inlineStr">
        <is>
          <t>Location sentence</t>
        </is>
      </c>
      <c r="G23" s="19" t="inlineStr">
        <is>
          <t>Intro + H1</t>
        </is>
      </c>
      <c r="H23" s="25" t="inlineStr">
        <is>
          <t>Root Canal Treatment in Parramatta</t>
        </is>
      </c>
      <c r="I23" s="25" t="inlineStr">
        <is>
          <t>Our Parramatta dentists provide gentle root canal treatment to save infected or badly damaged teeth, with same-week appointments for patients in pain [confirm].</t>
        </is>
      </c>
      <c r="J23" s="19">
        <f>IF(OR(LEN(TRIM(I23))=0,I23="(not written yet)"),0,LEN(TRIM(I23))-LEN(SUBSTITUTE(TRIM(I23)," ",""))+1)</f>
        <v/>
      </c>
      <c r="K23" s="33" t="inlineStr">
        <is>
          <t>Use 'Root Canal Treatment in Parramatta' as the new H1. Confirm same-week appointments.</t>
        </is>
      </c>
      <c r="L23" s="19" t="inlineStr">
        <is>
          <t>To do</t>
        </is>
      </c>
    </row>
    <row r="24" ht="150" customHeight="1">
      <c r="A24" s="19" t="n">
        <v>23</v>
      </c>
      <c r="B24" s="19" t="inlineStr">
        <is>
          <t>https://www.harbourdental.example/services/root-canal/</t>
        </is>
      </c>
      <c r="C24" s="19" t="inlineStr">
        <is>
          <t>C4</t>
        </is>
      </c>
      <c r="D24" s="19" t="inlineStr">
        <is>
          <t>root canal recovery time</t>
        </is>
      </c>
      <c r="E24" s="20" t="n">
        <v>801</v>
      </c>
      <c r="F24" s="19" t="inlineStr">
        <is>
          <t>New H2 section</t>
        </is>
      </c>
      <c r="G24" s="19" t="inlineStr">
        <is>
          <t>New H2 after the cost section</t>
        </is>
      </c>
      <c r="H24" s="25" t="inlineStr">
        <is>
          <t>Root canal recovery time</t>
        </is>
      </c>
      <c r="I24" s="25" t="inlineStr">
        <is>
          <t>Most people are back to normal activities the same day or the next day. Root canal recovery time is usually a few days of mild tenderness while the area around the tooth settles. Chew on the other side until your permanent filling or crown is fitted, keep brushing and flossing as usual, and call us if pain gets worse after three days or you notice swelling.</t>
        </is>
      </c>
      <c r="J24" s="19">
        <f>IF(OR(LEN(TRIM(I24))=0,I24="(not written yet)"),0,LEN(TRIM(I24))-LEN(SUBSTITUTE(TRIM(I24)," ",""))+1)</f>
        <v/>
      </c>
      <c r="K24" s="33" t="inlineStr"/>
      <c r="L24" s="19" t="inlineStr">
        <is>
          <t>To do</t>
        </is>
      </c>
    </row>
    <row r="25" ht="150" customHeight="1">
      <c r="A25" s="19" t="n">
        <v>24</v>
      </c>
      <c r="B25" s="19" t="inlineStr">
        <is>
          <t>https://www.harbourdental.example/blog/teeth-whitening-cost/</t>
        </is>
      </c>
      <c r="C25" s="19" t="inlineStr">
        <is>
          <t>C1</t>
        </is>
      </c>
      <c r="D25" s="19" t="inlineStr">
        <is>
          <t>how much is teeth whitening, teeth whitening cost australia, zoom whitening price, take home whitening kit cost</t>
        </is>
      </c>
      <c r="E25" s="20" t="n">
        <v>3349</v>
      </c>
      <c r="F25" s="19" t="inlineStr">
        <is>
          <t>Pricing table</t>
        </is>
      </c>
      <c r="G25" s="19" t="inlineStr">
        <is>
          <t>Right after the intro</t>
        </is>
      </c>
      <c r="H25" s="25" t="inlineStr">
        <is>
          <t>How much is teeth whitening?</t>
        </is>
      </c>
      <c r="I25" s="25" t="inlineStr">
        <is>
          <t>Here's what professional teeth whitening costs at Harbour Dental:
| Treatment | Price | Time | Best for |
| In-chair whitening | [price] | About 1 hour | Fast results for an event |
| Zoom whitening | [price] | About 1 hour | [confirm offered] |
| Take-home whitening kit | [price] | 2 weeks | Gradual results, top-ups |
| In-chair + take-home combo | [price] | 1 hour + top-ups | Longest-lasting results |
Across Australia, teeth whitening cost varies with the treatment type and the clinic. A dentist-supervised take-home whitening kit costs less than an in-chair session but takes longer. Zoom whitening price is usually at the top of the range because of the light-activated system.</t>
        </is>
      </c>
      <c r="J25" s="19">
        <f>IF(OR(LEN(TRIM(I25))=0,I25="(not written yet)"),0,LEN(TRIM(I25))-LEN(SUBSTITUTE(TRIM(I25)," ",""))+1)</f>
        <v/>
      </c>
      <c r="K25" s="33" t="inlineStr">
        <is>
          <t>Fill in every price. Remove the Zoom row if the clinic doesn't offer it.</t>
        </is>
      </c>
      <c r="L25" s="19" t="inlineStr">
        <is>
          <t>To do</t>
        </is>
      </c>
    </row>
    <row r="26" ht="150" customHeight="1">
      <c r="A26" s="19" t="n">
        <v>25</v>
      </c>
      <c r="B26" s="19" t="inlineStr">
        <is>
          <t>https://www.harbourdental.example/services/childrens-dentistry/</t>
        </is>
      </c>
      <c r="C26" s="19" t="inlineStr">
        <is>
          <t>C1</t>
        </is>
      </c>
      <c r="D26" s="19" t="inlineStr">
        <is>
          <t>kids dentist near me</t>
        </is>
      </c>
      <c r="E26" s="20" t="n">
        <v>1839</v>
      </c>
      <c r="F26" s="19" t="inlineStr">
        <is>
          <t>Local signals</t>
        </is>
      </c>
      <c r="G26" s="19" t="inlineStr">
        <is>
          <t>Intro + contact block</t>
        </is>
      </c>
      <c r="H26" s="25" t="inlineStr"/>
      <c r="I26" s="25" t="inlineStr">
        <is>
          <t>- Intro: name Parramatta and nearby suburbs families come from
- Add parking/pram access and the nearest station to the contact block
- Add Dentist schema with address, opening hours and areaServed
- Show Google reviews from parents (link to the Business Profile)</t>
        </is>
      </c>
      <c r="J26" s="19">
        <f>IF(OR(LEN(TRIM(I26))=0,I26="(not written yet)"),0,LEN(TRIM(I26))-LEN(SUBSTITUTE(TRIM(I26)," ",""))+1)</f>
        <v/>
      </c>
      <c r="K26" s="33" t="inlineStr">
        <is>
          <t>Confirm suburbs and parking details.</t>
        </is>
      </c>
      <c r="L26" s="19" t="inlineStr">
        <is>
          <t>To do</t>
        </is>
      </c>
    </row>
    <row r="27" ht="150" customHeight="1">
      <c r="A27" s="19" t="n">
        <v>26</v>
      </c>
      <c r="B27" s="19" t="inlineStr">
        <is>
          <t>https://www.harbourdental.example/services/childrens-dentistry/</t>
        </is>
      </c>
      <c r="C27" s="19" t="inlineStr">
        <is>
          <t>C2</t>
        </is>
      </c>
      <c r="D27" s="19" t="inlineStr">
        <is>
          <t>child dental benefits schedule</t>
        </is>
      </c>
      <c r="E27" s="20" t="n">
        <v>1580</v>
      </c>
      <c r="F27" s="19" t="inlineStr">
        <is>
          <t>New H2 section</t>
        </is>
      </c>
      <c r="G27" s="19" t="inlineStr">
        <is>
          <t>New H2 after 'Services for kids'</t>
        </is>
      </c>
      <c r="H27" s="25" t="inlineStr">
        <is>
          <t>Child Dental Benefits Schedule (CDBS)</t>
        </is>
      </c>
      <c r="I27" s="25" t="inlineStr">
        <is>
          <t>We [accept / bulk bill] the Child Dental Benefits Schedule, a Medicare program that helps eligible families pay for their children's basic dental care. If your child is eligible, the CDBS can cover check-ups, cleans, fillings and more up to a set amount over two calendar years. Bring your Medicare card to your appointment and we'll check your child's balance for you.</t>
        </is>
      </c>
      <c r="J27" s="19">
        <f>IF(OR(LEN(TRIM(I27))=0,I27="(not written yet)"),0,LEN(TRIM(I27))-LEN(SUBSTITUTE(TRIM(I27)," ",""))+1)</f>
        <v/>
      </c>
      <c r="K27" s="33" t="inlineStr">
        <is>
          <t>Confirm whether the clinic bulk bills CDBS and check current eligibility rules and cap on servicesaustralia.gov.au before publishing.</t>
        </is>
      </c>
      <c r="L27" s="19" t="inlineStr">
        <is>
          <t>To do</t>
        </is>
      </c>
    </row>
    <row r="28" ht="150" customHeight="1">
      <c r="A28" s="19" t="n">
        <v>27</v>
      </c>
      <c r="B28" s="19" t="inlineStr">
        <is>
          <t>https://www.harbourdental.example/services/childrens-dentistry/</t>
        </is>
      </c>
      <c r="C28" s="19" t="inlineStr">
        <is>
          <t>C3</t>
        </is>
      </c>
      <c r="D28" s="19" t="inlineStr">
        <is>
          <t>childrens dentist parramatta</t>
        </is>
      </c>
      <c r="E28" s="20" t="n">
        <v>1492</v>
      </c>
      <c r="F28" s="19" t="inlineStr">
        <is>
          <t>Location sentence</t>
        </is>
      </c>
      <c r="G28" s="19" t="inlineStr">
        <is>
          <t>Intro + H1</t>
        </is>
      </c>
      <c r="H28" s="25" t="inlineStr">
        <is>
          <t>Children's Dentist in Parramatta</t>
        </is>
      </c>
      <c r="I28" s="25" t="inlineStr">
        <is>
          <t>Looking for a friendly children's dentist in Parramatta? Our team loves looking after kids and helping them feel relaxed at every visit.</t>
        </is>
      </c>
      <c r="J28" s="19">
        <f>IF(OR(LEN(TRIM(I28))=0,I28="(not written yet)"),0,LEN(TRIM(I28))-LEN(SUBSTITUTE(TRIM(I28)," ",""))+1)</f>
        <v/>
      </c>
      <c r="K28" s="33" t="inlineStr">
        <is>
          <t>Use 'Children's Dentist in Parramatta' as the new H1.</t>
        </is>
      </c>
      <c r="L28" s="19" t="inlineStr">
        <is>
          <t>To do</t>
        </is>
      </c>
    </row>
    <row r="29" ht="150" customHeight="1">
      <c r="A29" s="19" t="n">
        <v>28</v>
      </c>
      <c r="B29" s="19" t="inlineStr">
        <is>
          <t>https://www.harbourdental.example/services/childrens-dentistry/</t>
        </is>
      </c>
      <c r="C29" s="19" t="inlineStr">
        <is>
          <t>C4</t>
        </is>
      </c>
      <c r="D29" s="19" t="inlineStr">
        <is>
          <t>bulk billing kids dentist</t>
        </is>
      </c>
      <c r="E29" s="20" t="n">
        <v>804</v>
      </c>
      <c r="F29" s="19" t="inlineStr">
        <is>
          <t>Sentence (inside the CDBS section)</t>
        </is>
      </c>
      <c r="G29" s="19" t="inlineStr">
        <is>
          <t>Last sentence of the CDBS section (chunk C2)</t>
        </is>
      </c>
      <c r="H29" s="25" t="inlineStr"/>
      <c r="I29" s="25" t="inlineStr">
        <is>
          <t>As a bulk billing kids dentist for eligible CDBS patients, we bill Medicare directly, so there's nothing to pay on the day for covered treatment.</t>
        </is>
      </c>
      <c r="J29" s="19">
        <f>IF(OR(LEN(TRIM(I29))=0,I29="(not written yet)"),0,LEN(TRIM(I29))-LEN(SUBSTITUTE(TRIM(I29)," ",""))+1)</f>
        <v/>
      </c>
      <c r="K29" s="33" t="inlineStr">
        <is>
          <t>Only publish if the clinic bulk bills under CDBS.</t>
        </is>
      </c>
      <c r="L29" s="19" t="inlineStr">
        <is>
          <t>To do</t>
        </is>
      </c>
    </row>
    <row r="30" ht="150" customHeight="1">
      <c r="A30" s="19" t="n">
        <v>29</v>
      </c>
      <c r="B30" s="19" t="inlineStr">
        <is>
          <t>https://www.harbourdental.example/services/childrens-dentistry/</t>
        </is>
      </c>
      <c r="C30" s="19" t="inlineStr">
        <is>
          <t>C5</t>
        </is>
      </c>
      <c r="D30" s="19" t="inlineStr">
        <is>
          <t>first dental visit age</t>
        </is>
      </c>
      <c r="E30" s="20" t="n">
        <v>548</v>
      </c>
      <c r="F30" s="19" t="inlineStr">
        <is>
          <t>New H2 section</t>
        </is>
      </c>
      <c r="G30" s="19" t="inlineStr">
        <is>
          <t>New H2 before 'Services for kids'</t>
        </is>
      </c>
      <c r="H30" s="25" t="inlineStr">
        <is>
          <t>When should your child first see a dentist?</t>
        </is>
      </c>
      <c r="I30" s="25" t="inlineStr">
        <is>
          <t>The recommended first dental visit age is when your child's first tooth appears, or by their first birthday. Early visits are short and gentle: we count teeth, check for early decay and show you how to brush little teeth. Starting young helps children see the dentist as a normal, friendly part of life.</t>
        </is>
      </c>
      <c r="J30" s="19">
        <f>IF(OR(LEN(TRIM(I30))=0,I30="(not written yet)"),0,LEN(TRIM(I30))-LEN(SUBSTITUTE(TRIM(I30)," ",""))+1)</f>
        <v/>
      </c>
      <c r="K30" s="33" t="inlineStr">
        <is>
          <t>Check the wording against current Australian Dental Association guidance.</t>
        </is>
      </c>
      <c r="L30" s="19" t="inlineStr">
        <is>
          <t>To do</t>
        </is>
      </c>
    </row>
    <row r="31" ht="150" customHeight="1">
      <c r="A31" s="19" t="n">
        <v>30</v>
      </c>
      <c r="B31" s="19" t="inlineStr">
        <is>
          <t>https://www.harbourdental.example/services/dental-crowns/</t>
        </is>
      </c>
      <c r="C31" s="19" t="inlineStr">
        <is>
          <t>C1</t>
        </is>
      </c>
      <c r="D31" s="19" t="inlineStr">
        <is>
          <t>dental crown cost</t>
        </is>
      </c>
      <c r="E31" s="20" t="n">
        <v>1817</v>
      </c>
      <c r="F31" s="19" t="inlineStr">
        <is>
          <t>Pricing section</t>
        </is>
      </c>
      <c r="G31" s="19" t="inlineStr">
        <is>
          <t>New H2 after 'What is a crown?'</t>
        </is>
      </c>
      <c r="H31" s="25" t="inlineStr">
        <is>
          <t>How much does a dental crown cost?</t>
        </is>
      </c>
      <c r="I31" s="25" t="inlineStr">
        <is>
          <t>Dental crown cost at our Parramatta clinic typically ranges from [price range] per tooth. The main things that change the price are:
- The material: porcelain, zirconia or gold
- Whether the tooth needs a root canal or core build-up first
- Same-day vs lab-made crowns [confirm]
Most health funds with major dental cover pay part of the cost, and payment plans are available [confirm].</t>
        </is>
      </c>
      <c r="J31" s="19">
        <f>IF(OR(LEN(TRIM(I31))=0,I31="(not written yet)"),0,LEN(TRIM(I31))-LEN(SUBSTITUTE(TRIM(I31)," ",""))+1)</f>
        <v/>
      </c>
      <c r="K31" s="33" t="inlineStr">
        <is>
          <t>Confirm prices, same-day crowns and payment plans.</t>
        </is>
      </c>
      <c r="L31" s="19" t="inlineStr">
        <is>
          <t>To do</t>
        </is>
      </c>
    </row>
    <row r="32" ht="150" customHeight="1">
      <c r="A32" s="19" t="n">
        <v>31</v>
      </c>
      <c r="B32" s="19" t="inlineStr">
        <is>
          <t>https://www.harbourdental.example/services/dental-crowns/</t>
        </is>
      </c>
      <c r="C32" s="19" t="inlineStr">
        <is>
          <t>C2</t>
        </is>
      </c>
      <c r="D32" s="19" t="inlineStr">
        <is>
          <t>porcelain crowns</t>
        </is>
      </c>
      <c r="E32" s="20" t="n">
        <v>653</v>
      </c>
      <c r="F32" s="19" t="inlineStr">
        <is>
          <t>Sentence edit</t>
        </is>
      </c>
      <c r="G32" s="19" t="inlineStr">
        <is>
          <t>Under 'What is a crown?'</t>
        </is>
      </c>
      <c r="H32" s="25" t="inlineStr"/>
      <c r="I32" s="25" t="inlineStr">
        <is>
          <t>Before: "Crowns are made from porcelain, zirconia or gold and are custom-made to match your teeth."
After: "We offer porcelain crowns, zirconia crowns and gold crowns, each custom-made to match your teeth. Porcelain crowns are the most natural-looking choice for front teeth."</t>
        </is>
      </c>
      <c r="J32" s="19">
        <f>IF(OR(LEN(TRIM(I32))=0,I32="(not written yet)"),0,LEN(TRIM(I32))-LEN(SUBSTITUTE(TRIM(I32)," ",""))+1)</f>
        <v/>
      </c>
      <c r="K32" s="33" t="inlineStr"/>
      <c r="L32" s="19" t="inlineStr">
        <is>
          <t>To do</t>
        </is>
      </c>
    </row>
    <row r="33" ht="150" customHeight="1">
      <c r="A33" s="19" t="n">
        <v>32</v>
      </c>
      <c r="B33" s="19" t="inlineStr">
        <is>
          <t>https://www.harbourdental.example/services/dental-crowns/</t>
        </is>
      </c>
      <c r="C33" s="19" t="inlineStr">
        <is>
          <t>C3</t>
        </is>
      </c>
      <c r="D33" s="19" t="inlineStr">
        <is>
          <t>dental crowns parramatta</t>
        </is>
      </c>
      <c r="E33" s="20" t="n">
        <v>643</v>
      </c>
      <c r="F33" s="19" t="inlineStr">
        <is>
          <t>Location sentence</t>
        </is>
      </c>
      <c r="G33" s="19" t="inlineStr">
        <is>
          <t>Intro + H1</t>
        </is>
      </c>
      <c r="H33" s="25" t="inlineStr">
        <is>
          <t>Dental Crowns in Parramatta</t>
        </is>
      </c>
      <c r="I33" s="25" t="inlineStr">
        <is>
          <t>Our dentists provide custom dental crowns in Parramatta to restore cracked, worn or heavily filled teeth so they look and work like new.</t>
        </is>
      </c>
      <c r="J33" s="19">
        <f>IF(OR(LEN(TRIM(I33))=0,I33="(not written yet)"),0,LEN(TRIM(I33))-LEN(SUBSTITUTE(TRIM(I33)," ",""))+1)</f>
        <v/>
      </c>
      <c r="K33" s="33" t="inlineStr">
        <is>
          <t>Use 'Dental Crowns in Parramatta' as the new H1.</t>
        </is>
      </c>
      <c r="L33" s="19" t="inlineStr">
        <is>
          <t>To do</t>
        </is>
      </c>
    </row>
    <row r="34" ht="150" customHeight="1">
      <c r="A34" s="19" t="n">
        <v>33</v>
      </c>
      <c r="B34" s="19" t="inlineStr">
        <is>
          <t>https://www.harbourdental.example/services/dental-crowns/</t>
        </is>
      </c>
      <c r="C34" s="19" t="inlineStr">
        <is>
          <t>C4</t>
        </is>
      </c>
      <c r="D34" s="19" t="inlineStr">
        <is>
          <t>crown vs filling</t>
        </is>
      </c>
      <c r="E34" s="20" t="n">
        <v>568</v>
      </c>
      <c r="F34" s="19" t="inlineStr">
        <is>
          <t>Comparison table + verdict</t>
        </is>
      </c>
      <c r="G34" s="19" t="inlineStr">
        <is>
          <t>New H2 after the cost section</t>
        </is>
      </c>
      <c r="H34" s="25" t="inlineStr">
        <is>
          <t>Crown vs filling: which do you need?</t>
        </is>
      </c>
      <c r="I34" s="25" t="inlineStr">
        <is>
          <t>| | Filling | Crown |
| Best for | Small to medium cavities | Large damage, cracks, after root canal |
| How much tooth is kept | Most of the tooth | Tooth is shaped to fit a cap |
| Visits | Usually one | One or two |
| Typical lifespan | [range] | [range] |
Crown vs filling comes down to how much healthy tooth is left. If a cavity is small, a filling is simpler and cheaper. If more than about half the tooth is damaged, a crown protects it from cracking.</t>
        </is>
      </c>
      <c r="J34" s="19">
        <f>IF(OR(LEN(TRIM(I34))=0,I34="(not written yet)"),0,LEN(TRIM(I34))-LEN(SUBSTITUTE(TRIM(I34)," ",""))+1)</f>
        <v/>
      </c>
      <c r="K34" s="33" t="inlineStr">
        <is>
          <t>Confirm lifespan ranges.</t>
        </is>
      </c>
      <c r="L34" s="19" t="inlineStr">
        <is>
          <t>To do</t>
        </is>
      </c>
    </row>
  </sheetData>
  <autoFilter ref="A1:L34"/>
  <conditionalFormatting sqref="L2:L34">
    <cfRule type="cellIs" priority="1" operator="equal" dxfId="0">
      <formula>"Done"</formula>
    </cfRule>
  </conditionalFormatting>
  <dataValidations count="1">
    <dataValidation sqref="L2:L34" showDropDown="0" showInputMessage="0" showErrorMessage="0" allowBlank="1" type="list">
      <formula1>"To do,In progress,Done,Skipped"</formula1>
    </dataValidation>
  </dataValidations>
  <pageMargins left="0.75" right="0.75" top="1" bottom="1" header="0.5" footer="0.5"/>
</worksheet>
</file>

<file path=xl/worksheets/sheet6.xml><?xml version="1.0" encoding="utf-8"?>
<worksheet xmlns="http://schemas.openxmlformats.org/spreadsheetml/2006/main">
  <sheetPr>
    <tabColor rgb="0022D3EE"/>
    <outlinePr summaryBelow="1" summaryRight="1"/>
    <pageSetUpPr/>
  </sheetPr>
  <dimension ref="A1:F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2" customWidth="1" min="1" max="1"/>
    <col width="42" customWidth="1" min="2" max="2"/>
    <col width="10" customWidth="1" min="3" max="3"/>
    <col width="30" customWidth="1" min="4" max="4"/>
    <col width="50" customWidth="1" min="5" max="5"/>
    <col width="11" customWidth="1" min="6" max="6"/>
  </cols>
  <sheetData>
    <row r="1" ht="32" customHeight="1">
      <c r="A1" s="18" t="inlineStr">
        <is>
          <t>Page to boost (link target)</t>
        </is>
      </c>
      <c r="B1" s="18" t="inlineStr">
        <is>
          <t>Add a link FROM this page</t>
        </is>
      </c>
      <c r="C1" s="18" t="inlineStr">
        <is>
          <t>Source page clicks</t>
        </is>
      </c>
      <c r="D1" s="18" t="inlineStr">
        <is>
          <t>Suggested anchor text</t>
        </is>
      </c>
      <c r="E1" s="18" t="inlineStr">
        <is>
          <t>Why this source</t>
        </is>
      </c>
      <c r="F1" s="18" t="inlineStr">
        <is>
          <t>Status</t>
        </is>
      </c>
    </row>
    <row r="2">
      <c r="A2" s="19" t="inlineStr">
        <is>
          <t>https://www.harbourdental.example/services/teeth-whitening/</t>
        </is>
      </c>
      <c r="B2" s="19" t="inlineStr">
        <is>
          <t>https://www.harbourdental.example/blog/teeth-whitening-cost/</t>
        </is>
      </c>
      <c r="C2" s="20" t="n">
        <v>64</v>
      </c>
      <c r="D2" s="25" t="inlineStr">
        <is>
          <t>teeth whitening</t>
        </is>
      </c>
      <c r="E2" s="19" t="inlineStr">
        <is>
          <t>Already ranks for 'teeth whiten' terms and earns 64 clicks</t>
        </is>
      </c>
      <c r="F2" s="19" t="inlineStr">
        <is>
          <t>To do</t>
        </is>
      </c>
    </row>
    <row r="3">
      <c r="A3" s="19" t="inlineStr">
        <is>
          <t>https://www.harbourdental.example/services/invisalign/</t>
        </is>
      </c>
      <c r="B3" s="19" t="inlineStr">
        <is>
          <t>https://www.harbourdental.example/blog/invisalign-vs-braces/</t>
        </is>
      </c>
      <c r="C3" s="20" t="n">
        <v>57</v>
      </c>
      <c r="D3" s="25" t="inlineStr">
        <is>
          <t>invisalign cost</t>
        </is>
      </c>
      <c r="E3" s="19" t="inlineStr">
        <is>
          <t>Already ranks for 'invisalign' terms and earns 57 clicks</t>
        </is>
      </c>
      <c r="F3" s="19" t="inlineStr">
        <is>
          <t>To do</t>
        </is>
      </c>
    </row>
    <row r="4">
      <c r="A4" s="19" t="inlineStr">
        <is>
          <t>https://www.harbourdental.example/blog/how-long-do-dental-implants-last/</t>
        </is>
      </c>
      <c r="B4" s="19" t="inlineStr">
        <is>
          <t>https://www.harbourdental.example/services/dental-implants/</t>
        </is>
      </c>
      <c r="C4" s="20" t="n">
        <v>131</v>
      </c>
      <c r="D4" s="25" t="inlineStr">
        <is>
          <t>how long do dental implants last</t>
        </is>
      </c>
      <c r="E4" s="19" t="inlineStr">
        <is>
          <t>Already ranks for 'implant' terms and earns 131 clicks</t>
        </is>
      </c>
      <c r="F4" s="19" t="inlineStr">
        <is>
          <t>To do</t>
        </is>
      </c>
    </row>
    <row r="5">
      <c r="A5" s="19" t="inlineStr">
        <is>
          <t>https://www.harbourdental.example/services/dental-implants/</t>
        </is>
      </c>
      <c r="B5" s="19" t="inlineStr">
        <is>
          <t>https://www.harbourdental.example/blog/how-long-do-dental-implants-last/</t>
        </is>
      </c>
      <c r="C5" s="20" t="n">
        <v>74</v>
      </c>
      <c r="D5" s="25" t="inlineStr">
        <is>
          <t>dental implants</t>
        </is>
      </c>
      <c r="E5" s="19" t="inlineStr">
        <is>
          <t>Already ranks for 'implant' terms and earns 74 clicks</t>
        </is>
      </c>
      <c r="F5" s="19" t="inlineStr">
        <is>
          <t>To do</t>
        </is>
      </c>
    </row>
    <row r="6">
      <c r="A6" s="19" t="inlineStr">
        <is>
          <t>https://www.harbourdental.example/blog/teeth-whitening-cost/</t>
        </is>
      </c>
      <c r="B6" s="19" t="inlineStr">
        <is>
          <t>https://www.harbourdental.example/services/teeth-whitening/</t>
        </is>
      </c>
      <c r="C6" s="20" t="n">
        <v>512</v>
      </c>
      <c r="D6" s="25" t="inlineStr">
        <is>
          <t>teeth whitening cost</t>
        </is>
      </c>
      <c r="E6" s="19" t="inlineStr">
        <is>
          <t>Already ranks for 'teeth whiten' terms and earns 512 clicks</t>
        </is>
      </c>
      <c r="F6" s="19" t="inlineStr">
        <is>
          <t>To do</t>
        </is>
      </c>
    </row>
    <row r="7">
      <c r="A7" s="19" t="inlineStr">
        <is>
          <t>https://www.harbourdental.example/services/root-canal/</t>
        </is>
      </c>
      <c r="B7" s="19" t="inlineStr">
        <is>
          <t>https://www.harbourdental.example/services/emergency-dentist/</t>
        </is>
      </c>
      <c r="C7" s="20" t="n">
        <v>782</v>
      </c>
      <c r="D7" s="25" t="inlineStr">
        <is>
          <t>root canal treatment</t>
        </is>
      </c>
      <c r="E7" s="19" t="inlineStr">
        <is>
          <t>Strongest service page; toothache and emergency visitors are often root canal candidates</t>
        </is>
      </c>
      <c r="F7" s="19" t="inlineStr">
        <is>
          <t>To do</t>
        </is>
      </c>
    </row>
    <row r="8">
      <c r="A8" s="19" t="inlineStr">
        <is>
          <t>https://www.harbourdental.example/services/root-canal/</t>
        </is>
      </c>
      <c r="B8" s="19" t="inlineStr">
        <is>
          <t>https://www.harbourdental.example/services/dental-crowns/</t>
        </is>
      </c>
      <c r="C8" s="20" t="n">
        <v>18</v>
      </c>
      <c r="D8" s="25" t="inlineStr">
        <is>
          <t>root canal</t>
        </is>
      </c>
      <c r="E8" s="19" t="inlineStr">
        <is>
          <t>Topically linked: crowns are often placed after a root canal</t>
        </is>
      </c>
      <c r="F8" s="19" t="inlineStr">
        <is>
          <t>To do</t>
        </is>
      </c>
    </row>
  </sheetData>
  <autoFilter ref="A1:F8"/>
  <conditionalFormatting sqref="F2:F8">
    <cfRule type="cellIs" priority="1" operator="equal" dxfId="0">
      <formula>"Done"</formula>
    </cfRule>
  </conditionalFormatting>
  <dataValidations count="1">
    <dataValidation sqref="F2:F8" showDropDown="0" showInputMessage="0" showErrorMessage="0" allowBlank="1" type="list">
      <formula1>"To do,In progress,Done,Skipped"</formula1>
    </dataValidation>
  </dataValidations>
  <pageMargins left="0.75" right="0.75" top="1" bottom="1" header="0.5" footer="0.5"/>
</worksheet>
</file>

<file path=xl/worksheets/sheet7.xml><?xml version="1.0" encoding="utf-8"?>
<worksheet xmlns="http://schemas.openxmlformats.org/spreadsheetml/2006/main">
  <sheetPr>
    <tabColor rgb="009CA3AF"/>
    <outlinePr summaryBelow="1" summaryRight="1"/>
    <pageSetUpPr/>
  </sheetPr>
  <dimension ref="A1:G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1" customWidth="1" min="2" max="2"/>
    <col width="46" customWidth="1" min="3" max="3"/>
    <col width="11" customWidth="1" min="4" max="4"/>
    <col width="8" customWidth="1" min="5" max="5"/>
    <col width="8" customWidth="1" min="6" max="6"/>
    <col width="60" customWidth="1" min="7" max="7"/>
  </cols>
  <sheetData>
    <row r="1" ht="32" customHeight="1">
      <c r="A1" s="18" t="inlineStr">
        <is>
          <t>Query</t>
        </is>
      </c>
      <c r="B1" s="18" t="inlineStr">
        <is>
          <t>Total impressions</t>
        </is>
      </c>
      <c r="C1" s="18" t="inlineStr">
        <is>
          <t>Competing page</t>
        </is>
      </c>
      <c r="D1" s="18" t="inlineStr">
        <is>
          <t>Impressions</t>
        </is>
      </c>
      <c r="E1" s="18" t="inlineStr">
        <is>
          <t>Clicks</t>
        </is>
      </c>
      <c r="F1" s="18" t="inlineStr">
        <is>
          <t>Position</t>
        </is>
      </c>
      <c r="G1" s="18" t="inlineStr">
        <is>
          <t>Suggested fix</t>
        </is>
      </c>
    </row>
    <row r="2">
      <c r="A2" s="19" t="inlineStr">
        <is>
          <t>teeth whitening cost</t>
        </is>
      </c>
      <c r="B2" s="20" t="n">
        <v>5305</v>
      </c>
      <c r="C2" s="19" t="inlineStr">
        <is>
          <t>https://www.harbourdental.example/blog/teeth-whitening-cost/</t>
        </is>
      </c>
      <c r="D2" s="20" t="n">
        <v>3235</v>
      </c>
      <c r="E2" s="19" t="n">
        <v>26</v>
      </c>
      <c r="F2" s="19" t="n">
        <v>15.6</v>
      </c>
      <c r="G2" s="19" t="inlineStr">
        <is>
          <t>Pick ONE page to own this query. Point the others to it with an internal link using the query as anchor, and remove the query from their title/H1.</t>
        </is>
      </c>
    </row>
    <row r="3">
      <c r="A3" s="19" t="inlineStr"/>
      <c r="B3" s="20" t="n"/>
      <c r="C3" s="19" t="inlineStr">
        <is>
          <t>https://www.harbourdental.example/services/teeth-whitening/</t>
        </is>
      </c>
      <c r="D3" s="20" t="n">
        <v>2070</v>
      </c>
      <c r="E3" s="19" t="n">
        <v>9</v>
      </c>
      <c r="F3" s="19" t="n">
        <v>12.7</v>
      </c>
      <c r="G3" s="19" t="inlineStr"/>
    </row>
  </sheetData>
  <autoFilter ref="A1:G3"/>
  <pageMargins left="0.75" right="0.75" top="1" bottom="1" header="0.5" footer="0.5"/>
</worksheet>
</file>

<file path=xl/worksheets/sheet8.xml><?xml version="1.0" encoding="utf-8"?>
<worksheet xmlns="http://schemas.openxmlformats.org/spreadsheetml/2006/main">
  <sheetPr>
    <tabColor rgb="000D1730"/>
    <outlinePr summaryBelow="1" summaryRight="1"/>
    <pageSetUpPr/>
  </sheetPr>
  <dimension ref="A1:J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44" customWidth="1" min="3" max="3"/>
    <col width="60" customWidth="1" min="4" max="4"/>
    <col width="15" customWidth="1" min="5" max="5"/>
    <col width="12" customWidth="1" min="6" max="6"/>
    <col width="14" customWidth="1" min="7" max="7"/>
    <col width="11" customWidth="1" min="8" max="8"/>
    <col width="11" customWidth="1" min="9" max="9"/>
    <col width="30" customWidth="1" min="10" max="10"/>
  </cols>
  <sheetData>
    <row r="1" ht="32" customHeight="1">
      <c r="A1" s="18" t="inlineStr">
        <is>
          <t>#</t>
        </is>
      </c>
      <c r="B1" s="18" t="inlineStr">
        <is>
          <t>Priority</t>
        </is>
      </c>
      <c r="C1" s="18" t="inlineStr">
        <is>
          <t>Page</t>
        </is>
      </c>
      <c r="D1" s="18" t="inlineStr">
        <is>
          <t>Action</t>
        </is>
      </c>
      <c r="E1" s="18" t="inlineStr">
        <is>
          <t>Type</t>
        </is>
      </c>
      <c r="F1" s="18" t="inlineStr">
        <is>
          <t>Est. extra clicks / period</t>
        </is>
      </c>
      <c r="G1" s="18" t="inlineStr">
        <is>
          <t>Owner</t>
        </is>
      </c>
      <c r="H1" s="18" t="inlineStr">
        <is>
          <t>Status</t>
        </is>
      </c>
      <c r="I1" s="18" t="inlineStr">
        <is>
          <t>Date done</t>
        </is>
      </c>
      <c r="J1" s="18" t="inlineStr">
        <is>
          <t>Notes</t>
        </is>
      </c>
    </row>
    <row r="2">
      <c r="A2" s="19" t="n">
        <v>1</v>
      </c>
      <c r="B2" s="24" t="inlineStr">
        <is>
          <t>High</t>
        </is>
      </c>
      <c r="C2" s="19" t="inlineStr">
        <is>
          <t>https://www.harbourdental.example/services/dental-implants/</t>
        </is>
      </c>
      <c r="D2" s="19" t="inlineStr">
        <is>
          <t>Add 4 content chunks + 1 internal link; follow the push plan (see Page 2-3 Pages)</t>
        </is>
      </c>
      <c r="E2" s="19" t="inlineStr">
        <is>
          <t>Push to page 1</t>
        </is>
      </c>
      <c r="F2" s="20" t="n">
        <v>803</v>
      </c>
      <c r="G2" s="33" t="inlineStr"/>
      <c r="H2" s="19" t="inlineStr">
        <is>
          <t>To do</t>
        </is>
      </c>
      <c r="I2" s="33" t="inlineStr"/>
      <c r="J2" s="33" t="inlineStr"/>
    </row>
    <row r="3">
      <c r="A3" s="19" t="n">
        <v>2</v>
      </c>
      <c r="B3" s="24" t="inlineStr">
        <is>
          <t>High</t>
        </is>
      </c>
      <c r="C3" s="19" t="inlineStr">
        <is>
          <t>https://www.harbourdental.example/services/root-canal/</t>
        </is>
      </c>
      <c r="D3" s="19" t="inlineStr">
        <is>
          <t>Add 4 content chunks; follow the push plan (see Page 2-3 Pages)</t>
        </is>
      </c>
      <c r="E3" s="19" t="inlineStr">
        <is>
          <t>Push to page 1</t>
        </is>
      </c>
      <c r="F3" s="20" t="n">
        <v>546</v>
      </c>
      <c r="G3" s="33" t="inlineStr"/>
      <c r="H3" s="19" t="inlineStr">
        <is>
          <t>To do</t>
        </is>
      </c>
      <c r="I3" s="33" t="inlineStr"/>
      <c r="J3" s="33" t="inlineStr"/>
    </row>
    <row r="4">
      <c r="A4" s="19" t="n">
        <v>3</v>
      </c>
      <c r="B4" s="24" t="inlineStr">
        <is>
          <t>High</t>
        </is>
      </c>
      <c r="C4" s="19" t="inlineStr">
        <is>
          <t>https://www.harbourdental.example/services/teeth-whitening/</t>
        </is>
      </c>
      <c r="D4" s="19" t="inlineStr">
        <is>
          <t>Rewrite title + meta description (see Low CTR Pages)</t>
        </is>
      </c>
      <c r="E4" s="19" t="inlineStr">
        <is>
          <t>CTR rewrite</t>
        </is>
      </c>
      <c r="F4" s="20" t="n">
        <v>498</v>
      </c>
      <c r="G4" s="33" t="inlineStr"/>
      <c r="H4" s="19" t="inlineStr">
        <is>
          <t>To do</t>
        </is>
      </c>
      <c r="I4" s="33" t="inlineStr"/>
      <c r="J4" s="33" t="inlineStr"/>
    </row>
    <row r="5">
      <c r="A5" s="19" t="n">
        <v>4</v>
      </c>
      <c r="B5" s="26" t="inlineStr">
        <is>
          <t>Medium</t>
        </is>
      </c>
      <c r="C5" s="19" t="inlineStr">
        <is>
          <t>https://www.harbourdental.example/blog/teeth-whitening-cost/</t>
        </is>
      </c>
      <c r="D5" s="19" t="inlineStr">
        <is>
          <t>Add 1 content chunk + 1 internal link; follow the push plan (see Page 2-3 Pages)</t>
        </is>
      </c>
      <c r="E5" s="19" t="inlineStr">
        <is>
          <t>Push to page 1</t>
        </is>
      </c>
      <c r="F5" s="20" t="n">
        <v>397</v>
      </c>
      <c r="G5" s="33" t="inlineStr"/>
      <c r="H5" s="19" t="inlineStr">
        <is>
          <t>To do</t>
        </is>
      </c>
      <c r="I5" s="33" t="inlineStr"/>
      <c r="J5" s="33" t="inlineStr"/>
    </row>
    <row r="6">
      <c r="A6" s="19" t="n">
        <v>5</v>
      </c>
      <c r="B6" s="26" t="inlineStr">
        <is>
          <t>Medium</t>
        </is>
      </c>
      <c r="C6" s="19" t="inlineStr">
        <is>
          <t>https://www.harbourdental.example/services/invisalign/</t>
        </is>
      </c>
      <c r="D6" s="19" t="inlineStr">
        <is>
          <t>Rewrite title + meta description (see Low CTR Pages)</t>
        </is>
      </c>
      <c r="E6" s="19" t="inlineStr">
        <is>
          <t>CTR rewrite</t>
        </is>
      </c>
      <c r="F6" s="20" t="n">
        <v>124</v>
      </c>
      <c r="G6" s="33" t="inlineStr"/>
      <c r="H6" s="19" t="inlineStr">
        <is>
          <t>To do</t>
        </is>
      </c>
      <c r="I6" s="33" t="inlineStr"/>
      <c r="J6" s="33" t="inlineStr"/>
    </row>
    <row r="7">
      <c r="A7" s="19" t="n">
        <v>6</v>
      </c>
      <c r="B7" s="26" t="inlineStr">
        <is>
          <t>Medium</t>
        </is>
      </c>
      <c r="C7" s="19" t="inlineStr">
        <is>
          <t>https://www.harbourdental.example/blog/invisalign-vs-braces/</t>
        </is>
      </c>
      <c r="D7" s="19" t="inlineStr">
        <is>
          <t>Rewrite title + meta description (see Low CTR Pages)</t>
        </is>
      </c>
      <c r="E7" s="19" t="inlineStr">
        <is>
          <t>CTR rewrite</t>
        </is>
      </c>
      <c r="F7" s="20" t="n">
        <v>98</v>
      </c>
      <c r="G7" s="33" t="inlineStr"/>
      <c r="H7" s="19" t="inlineStr">
        <is>
          <t>To do</t>
        </is>
      </c>
      <c r="I7" s="33" t="inlineStr"/>
      <c r="J7" s="33" t="inlineStr"/>
    </row>
    <row r="8">
      <c r="A8" s="19" t="n">
        <v>7</v>
      </c>
      <c r="B8" s="26" t="inlineStr">
        <is>
          <t>Medium</t>
        </is>
      </c>
      <c r="C8" s="19" t="inlineStr">
        <is>
          <t>https://www.harbourdental.example/services/teeth-whitening/</t>
        </is>
      </c>
      <c r="D8" s="19" t="inlineStr">
        <is>
          <t>Add 6 content chunks for keywords the page ranks for but doesn't use</t>
        </is>
      </c>
      <c r="E8" s="19" t="inlineStr">
        <is>
          <t>Content chunks</t>
        </is>
      </c>
      <c r="F8" s="20" t="n"/>
      <c r="G8" s="33" t="inlineStr"/>
      <c r="H8" s="19" t="inlineStr">
        <is>
          <t>To do</t>
        </is>
      </c>
      <c r="I8" s="33" t="inlineStr"/>
      <c r="J8" s="33" t="inlineStr"/>
    </row>
    <row r="9">
      <c r="A9" s="19" t="n">
        <v>8</v>
      </c>
      <c r="B9" s="26" t="inlineStr">
        <is>
          <t>Medium</t>
        </is>
      </c>
      <c r="C9" s="19" t="inlineStr">
        <is>
          <t>https://www.harbourdental.example/services/invisalign/</t>
        </is>
      </c>
      <c r="D9" s="19" t="inlineStr">
        <is>
          <t>Add 4 content chunks for keywords the page ranks for but doesn't use</t>
        </is>
      </c>
      <c r="E9" s="19" t="inlineStr">
        <is>
          <t>Content chunks</t>
        </is>
      </c>
      <c r="F9" s="20" t="n"/>
      <c r="G9" s="33" t="inlineStr"/>
      <c r="H9" s="19" t="inlineStr">
        <is>
          <t>To do</t>
        </is>
      </c>
      <c r="I9" s="33" t="inlineStr"/>
      <c r="J9" s="33" t="inlineStr"/>
    </row>
    <row r="10">
      <c r="A10" s="19" t="n">
        <v>9</v>
      </c>
      <c r="B10" s="26" t="inlineStr">
        <is>
          <t>Medium</t>
        </is>
      </c>
      <c r="C10" s="19" t="inlineStr">
        <is>
          <t>https://www.harbourdental.example/blog/invisalign-vs-braces/</t>
        </is>
      </c>
      <c r="D10" s="19" t="inlineStr">
        <is>
          <t>Add 1 content chunk for keywords the page ranks for but doesn't use</t>
        </is>
      </c>
      <c r="E10" s="19" t="inlineStr">
        <is>
          <t>Content chunks</t>
        </is>
      </c>
      <c r="F10" s="20" t="n"/>
      <c r="G10" s="33" t="inlineStr"/>
      <c r="H10" s="19" t="inlineStr">
        <is>
          <t>To do</t>
        </is>
      </c>
      <c r="I10" s="33" t="inlineStr"/>
      <c r="J10" s="33" t="inlineStr"/>
    </row>
    <row r="11">
      <c r="A11" s="19" t="n">
        <v>10</v>
      </c>
      <c r="B11" s="26" t="inlineStr">
        <is>
          <t>Medium</t>
        </is>
      </c>
      <c r="C11" s="19" t="inlineStr">
        <is>
          <t>https://www.harbourdental.example/blog/how-long-do-dental-implants-last/</t>
        </is>
      </c>
      <c r="D11" s="19" t="inlineStr">
        <is>
          <t>Add 4 content chunks for keywords the page ranks for but doesn't use</t>
        </is>
      </c>
      <c r="E11" s="19" t="inlineStr">
        <is>
          <t>Content chunks</t>
        </is>
      </c>
      <c r="F11" s="20" t="n"/>
      <c r="G11" s="33" t="inlineStr"/>
      <c r="H11" s="19" t="inlineStr">
        <is>
          <t>To do</t>
        </is>
      </c>
      <c r="I11" s="33" t="inlineStr"/>
      <c r="J11" s="33" t="inlineStr"/>
    </row>
    <row r="12">
      <c r="A12" s="19" t="n">
        <v>11</v>
      </c>
      <c r="B12" s="26" t="inlineStr">
        <is>
          <t>Medium</t>
        </is>
      </c>
      <c r="C12" s="19" t="inlineStr">
        <is>
          <t>https://www.harbourdental.example/blog/teeth-whitening-cost/</t>
        </is>
      </c>
      <c r="D12" s="19" t="inlineStr">
        <is>
          <t>Fix cannibalisation for 'teeth whitening cost' (2 pages competing)</t>
        </is>
      </c>
      <c r="E12" s="19" t="inlineStr">
        <is>
          <t>Cannibalisation</t>
        </is>
      </c>
      <c r="F12" s="20" t="n"/>
      <c r="G12" s="33" t="inlineStr"/>
      <c r="H12" s="19" t="inlineStr">
        <is>
          <t>To do</t>
        </is>
      </c>
      <c r="I12" s="33" t="inlineStr"/>
      <c r="J12" s="33" t="inlineStr"/>
    </row>
    <row r="13">
      <c r="A13" s="19" t="n">
        <v>12</v>
      </c>
      <c r="B13" s="27" t="inlineStr">
        <is>
          <t>Low</t>
        </is>
      </c>
      <c r="C13" s="19" t="inlineStr">
        <is>
          <t>https://www.harbourdental.example/services/childrens-dentistry/</t>
        </is>
      </c>
      <c r="D13" s="19" t="inlineStr">
        <is>
          <t>Add 5 content chunks; follow the push plan (see Page 2-3 Pages)</t>
        </is>
      </c>
      <c r="E13" s="19" t="inlineStr">
        <is>
          <t>Push to page 1</t>
        </is>
      </c>
      <c r="F13" s="20" t="n">
        <v>343</v>
      </c>
      <c r="G13" s="33" t="inlineStr"/>
      <c r="H13" s="19" t="inlineStr">
        <is>
          <t>To do</t>
        </is>
      </c>
      <c r="I13" s="33" t="inlineStr"/>
      <c r="J13" s="33" t="inlineStr"/>
    </row>
    <row r="14">
      <c r="A14" s="19" t="n">
        <v>13</v>
      </c>
      <c r="B14" s="27" t="inlineStr">
        <is>
          <t>Low</t>
        </is>
      </c>
      <c r="C14" s="19" t="inlineStr">
        <is>
          <t>https://www.harbourdental.example/services/dental-crowns/</t>
        </is>
      </c>
      <c r="D14" s="19" t="inlineStr">
        <is>
          <t>Add 4 content chunks; follow the push plan (see Page 2-3 Pages)</t>
        </is>
      </c>
      <c r="E14" s="19" t="inlineStr">
        <is>
          <t>Push to page 1</t>
        </is>
      </c>
      <c r="F14" s="20" t="n">
        <v>245</v>
      </c>
      <c r="G14" s="33" t="inlineStr"/>
      <c r="H14" s="19" t="inlineStr">
        <is>
          <t>To do</t>
        </is>
      </c>
      <c r="I14" s="33" t="inlineStr"/>
      <c r="J14" s="33" t="inlineStr"/>
    </row>
    <row r="15">
      <c r="A15" s="19" t="n">
        <v>14</v>
      </c>
      <c r="B15" s="27" t="inlineStr">
        <is>
          <t>Low</t>
        </is>
      </c>
      <c r="C15" s="19" t="inlineStr">
        <is>
          <t>https://www.harbourdental.example/blog/how-long-do-dental-implants-last/</t>
        </is>
      </c>
      <c r="D15" s="19" t="inlineStr">
        <is>
          <t>Rewrite title + meta description (see Low CTR Pages)</t>
        </is>
      </c>
      <c r="E15" s="19" t="inlineStr">
        <is>
          <t>CTR rewrite</t>
        </is>
      </c>
      <c r="F15" s="20" t="n">
        <v>57</v>
      </c>
      <c r="G15" s="33" t="inlineStr"/>
      <c r="H15" s="19" t="inlineStr">
        <is>
          <t>To do</t>
        </is>
      </c>
      <c r="I15" s="33" t="inlineStr"/>
      <c r="J15" s="33" t="inlineStr"/>
    </row>
  </sheetData>
  <autoFilter ref="A1:J15"/>
  <conditionalFormatting sqref="H2:H15">
    <cfRule type="cellIs" priority="1" operator="equal" dxfId="0">
      <formula>"Done"</formula>
    </cfRule>
  </conditionalFormatting>
  <dataValidations count="1">
    <dataValidation sqref="H2:H15" showDropDown="0" showInputMessage="0" showErrorMessage="0" allowBlank="1" type="list">
      <formula1>"To do,In progress,Done,Skipped"</formula1>
    </dataValidation>
  </dataValidations>
  <pageMargins left="0.75" right="0.75" top="1" bottom="1" header="0.5" footer="0.5"/>
</worksheet>
</file>

<file path=xl/worksheets/sheet9.xml><?xml version="1.0" encoding="utf-8"?>
<worksheet xmlns="http://schemas.openxmlformats.org/spreadsheetml/2006/main">
  <sheetPr>
    <tabColor rgb="009CA3AF"/>
    <outlinePr summaryBelow="1" summaryRight="1"/>
    <pageSetUpPr/>
  </sheetPr>
  <dimension ref="A1:B43"/>
  <sheetViews>
    <sheetView workbookViewId="0">
      <selection activeCell="A1" sqref="A1"/>
    </sheetView>
  </sheetViews>
  <sheetFormatPr baseColWidth="8" defaultRowHeight="15"/>
  <cols>
    <col width="34" customWidth="1" min="1" max="1"/>
    <col width="90" customWidth="1" min="2" max="2"/>
  </cols>
  <sheetData>
    <row r="1">
      <c r="A1" s="34" t="inlineStr">
        <is>
          <t>Method &amp; Notes</t>
        </is>
      </c>
    </row>
    <row r="3">
      <c r="A3" s="35" t="inlineStr">
        <is>
          <t>Site</t>
        </is>
      </c>
      <c r="B3" s="36" t="inlineStr">
        <is>
          <t>Harbour Dental (fictional example)</t>
        </is>
      </c>
    </row>
    <row r="4">
      <c r="A4" s="35" t="inlineStr">
        <is>
          <t>GSC date range</t>
        </is>
      </c>
      <c r="B4" s="36" t="inlineStr">
        <is>
          <t>Last 3 months (sample data)</t>
        </is>
      </c>
    </row>
    <row r="5">
      <c r="A5" s="35" t="inlineStr">
        <is>
          <t>Data mode</t>
        </is>
      </c>
      <c r="B5" s="36" t="inlineStr">
        <is>
          <t>page+query</t>
        </is>
      </c>
    </row>
    <row r="6">
      <c r="A6" s="35" t="inlineStr">
        <is>
          <t>Report generated</t>
        </is>
      </c>
      <c r="B6" s="36" t="inlineStr">
        <is>
          <t>2026-10-21</t>
        </is>
      </c>
    </row>
    <row r="7">
      <c r="A7" s="35" t="inlineStr">
        <is>
          <t>Benchmark</t>
        </is>
      </c>
      <c r="B7" s="36" t="inlineStr">
        <is>
          <t>industry CTR curve</t>
        </is>
      </c>
    </row>
    <row r="8">
      <c r="A8" s="35" t="inlineStr">
        <is>
          <t>Low-CTR rule</t>
        </is>
      </c>
      <c r="B8" s="36" t="inlineStr">
        <is>
          <t>Avg position &lt; 11, impressions &gt;= 100, CTR &lt; 70% of expected CTR</t>
        </is>
      </c>
    </row>
    <row r="9">
      <c r="A9" s="35" t="inlineStr">
        <is>
          <t>Page 2-3 rule</t>
        </is>
      </c>
      <c r="B9" s="36" t="inlineStr">
        <is>
          <t>Avg position 11-30.9, impressions &gt;= 50</t>
        </is>
      </c>
    </row>
    <row r="10">
      <c r="A10" s="35" t="inlineStr">
        <is>
          <t>Min impressions per page+query row</t>
        </is>
      </c>
      <c r="B10" s="36" t="n">
        <v>10</v>
      </c>
    </row>
    <row r="11">
      <c r="A11" s="35" t="inlineStr">
        <is>
          <t>Brand terms excluded</t>
        </is>
      </c>
      <c r="B11" s="36" t="inlineStr">
        <is>
          <t>harbour dental, harbourdental</t>
        </is>
      </c>
    </row>
    <row r="12">
      <c r="A12" s="35" t="inlineStr">
        <is>
          <t>Expected CTR at position 5</t>
        </is>
      </c>
      <c r="B12" s="37" t="n">
        <v>0.055</v>
      </c>
    </row>
    <row r="15">
      <c r="A15" s="38" t="inlineStr">
        <is>
          <t>Expected CTR curve (position -&gt; CTR)</t>
        </is>
      </c>
    </row>
    <row r="16">
      <c r="A16" t="inlineStr">
        <is>
          <t>Position 1</t>
        </is>
      </c>
      <c r="B16" s="39" t="n">
        <v>0.25</v>
      </c>
    </row>
    <row r="17">
      <c r="A17" t="inlineStr">
        <is>
          <t>Position 2</t>
        </is>
      </c>
      <c r="B17" s="39" t="n">
        <v>0.15</v>
      </c>
    </row>
    <row r="18">
      <c r="A18" t="inlineStr">
        <is>
          <t>Position 3</t>
        </is>
      </c>
      <c r="B18" s="39" t="n">
        <v>0.1</v>
      </c>
    </row>
    <row r="19">
      <c r="A19" t="inlineStr">
        <is>
          <t>Position 4</t>
        </is>
      </c>
      <c r="B19" s="39" t="n">
        <v>0.07000000000000001</v>
      </c>
    </row>
    <row r="20">
      <c r="A20" t="inlineStr">
        <is>
          <t>Position 5</t>
        </is>
      </c>
      <c r="B20" s="39" t="n">
        <v>0.055</v>
      </c>
    </row>
    <row r="21">
      <c r="A21" t="inlineStr">
        <is>
          <t>Position 6</t>
        </is>
      </c>
      <c r="B21" s="39" t="n">
        <v>0.04</v>
      </c>
    </row>
    <row r="22">
      <c r="A22" t="inlineStr">
        <is>
          <t>Position 7</t>
        </is>
      </c>
      <c r="B22" s="39" t="n">
        <v>0.032</v>
      </c>
    </row>
    <row r="23">
      <c r="A23" t="inlineStr">
        <is>
          <t>Position 8</t>
        </is>
      </c>
      <c r="B23" s="39" t="n">
        <v>0.026</v>
      </c>
    </row>
    <row r="24">
      <c r="A24" t="inlineStr">
        <is>
          <t>Position 9</t>
        </is>
      </c>
      <c r="B24" s="39" t="n">
        <v>0.022</v>
      </c>
    </row>
    <row r="25">
      <c r="A25" t="inlineStr">
        <is>
          <t>Position 10</t>
        </is>
      </c>
      <c r="B25" s="39" t="n">
        <v>0.019</v>
      </c>
    </row>
    <row r="26">
      <c r="A26" t="inlineStr">
        <is>
          <t>Position 11</t>
        </is>
      </c>
      <c r="B26" s="39" t="n">
        <v>0.012</v>
      </c>
    </row>
    <row r="27">
      <c r="A27" t="inlineStr">
        <is>
          <t>Position 12</t>
        </is>
      </c>
      <c r="B27" s="39" t="n">
        <v>0.011</v>
      </c>
    </row>
    <row r="28">
      <c r="A28" t="inlineStr">
        <is>
          <t>Position 13</t>
        </is>
      </c>
      <c r="B28" s="39" t="n">
        <v>0.01</v>
      </c>
    </row>
    <row r="29">
      <c r="A29" t="inlineStr">
        <is>
          <t>Position 14</t>
        </is>
      </c>
      <c r="B29" s="39" t="n">
        <v>0.008999999999999999</v>
      </c>
    </row>
    <row r="30">
      <c r="A30" t="inlineStr">
        <is>
          <t>Position 15</t>
        </is>
      </c>
      <c r="B30" s="39" t="n">
        <v>0.008</v>
      </c>
    </row>
    <row r="31">
      <c r="A31" t="inlineStr">
        <is>
          <t>Position 20</t>
        </is>
      </c>
      <c r="B31" s="39" t="n">
        <v>0.006</v>
      </c>
    </row>
    <row r="32">
      <c r="A32" t="inlineStr">
        <is>
          <t>Position 25</t>
        </is>
      </c>
      <c r="B32" s="39" t="n">
        <v>0.004</v>
      </c>
    </row>
    <row r="33">
      <c r="A33" t="inlineStr">
        <is>
          <t>Position 30</t>
        </is>
      </c>
      <c r="B33" s="39" t="n">
        <v>0.003</v>
      </c>
    </row>
    <row r="34">
      <c r="A34" t="inlineStr">
        <is>
          <t>Position 50</t>
        </is>
      </c>
      <c r="B34" s="39" t="n">
        <v>0.002</v>
      </c>
    </row>
    <row r="35">
      <c r="A35" t="inlineStr">
        <is>
          <t>Position 100</t>
        </is>
      </c>
      <c r="B35" s="39" t="n">
        <v>0.001</v>
      </c>
    </row>
    <row r="37">
      <c r="A37" s="35" t="inlineStr">
        <is>
          <t>How estimates work</t>
        </is>
      </c>
      <c r="B37" s="36" t="inlineStr">
        <is>
          <t>Extra clicks = impressions x expected CTR - current clicks. 'Clicks at position 5' uses today's impressions, so it is conservative: impressions usually grow when a page reaches page 1.</t>
        </is>
      </c>
    </row>
    <row r="38">
      <c r="A38" s="35" t="inlineStr">
        <is>
          <t>Average position caveat</t>
        </is>
      </c>
      <c r="B38" s="36" t="inlineStr">
        <is>
          <t>A page's average position blends all its queries. A page at 8.4 may rank #2 for one keyword and #25 for another - always read the query list.</t>
        </is>
      </c>
    </row>
    <row r="39">
      <c r="A39" s="35" t="inlineStr">
        <is>
          <t>Keyword status</t>
        </is>
      </c>
      <c r="B39" s="36" t="inlineStr">
        <is>
          <t>Used = phrase in body/headings and in title/H1/heading. Not in headings = only in body copy. Scattered terms = every word is there, never as the phrase. Partial = some words missing. Missing = most words missing.</t>
        </is>
      </c>
    </row>
    <row r="40">
      <c r="A40" s="35" t="inlineStr">
        <is>
          <t>Colour key</t>
        </is>
      </c>
      <c r="B40" s="36" t="inlineStr">
        <is>
          <t>Green cells = suggestions to review. Amber cells = for you to fill in (owner, status, notes).</t>
        </is>
      </c>
    </row>
    <row r="41">
      <c r="A41" s="35" t="inlineStr">
        <is>
          <t>Re-measure</t>
        </is>
      </c>
      <c r="B41" s="36" t="inlineStr">
        <is>
          <t>Wait 4-6 weeks after changes, then compare the same date-range length in GSC (Compare mode).</t>
        </is>
      </c>
    </row>
    <row r="43">
      <c r="A43" s="17" t="inlineStr">
        <is>
          <t>Built with website-clicks-improver by Akif Qureshi | SEO Specialist - algoblueprints.com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2026-10-21T21:40:54Z</dcterms:created>
  <dcterms:modified xmlns:dcterms="http://purl.org/dc/terms/" xmlns:xsi="http://www.w3.org/2001/XMLSchema-instance" xsi:type="dcterms:W3CDTF">2026-10-21T21:40:54Z</dcterms:modified>
</cp:coreProperties>
</file>